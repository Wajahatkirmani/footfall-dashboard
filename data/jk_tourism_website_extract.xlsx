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edwajahat/Downloads/"/>
    </mc:Choice>
  </mc:AlternateContent>
  <xr:revisionPtr revIDLastSave="0" documentId="13_ncr:1_{DCEB1EB8-AC31-914D-8C3A-3A70348C12BA}" xr6:coauthVersionLast="47" xr6:coauthVersionMax="47" xr10:uidLastSave="{00000000-0000-0000-0000-000000000000}"/>
  <bookViews>
    <workbookView xWindow="0" yWindow="620" windowWidth="28800" windowHeight="16380" activeTab="10" xr2:uid="{00000000-000D-0000-FFFF-FFFF00000000}"/>
  </bookViews>
  <sheets>
    <sheet name="J&amp;K 2015" sheetId="4" r:id="rId1"/>
    <sheet name="J&amp;K 2016" sheetId="5" r:id="rId2"/>
    <sheet name="J&amp;K 2017" sheetId="6" r:id="rId3"/>
    <sheet name="J&amp;K 2018" sheetId="7" r:id="rId4"/>
    <sheet name="J&amp;K 2019" sheetId="8" r:id="rId5"/>
    <sheet name="J&amp;K 2020" sheetId="9" r:id="rId6"/>
    <sheet name="J&amp;K 2021" sheetId="10" r:id="rId7"/>
    <sheet name="J&amp;K 2022" sheetId="11" r:id="rId8"/>
    <sheet name="J&amp;K 2023" sheetId="12" r:id="rId9"/>
    <sheet name="J&amp;K 2024" sheetId="13" r:id="rId10"/>
    <sheet name="J&amp;K 2025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3" l="1"/>
  <c r="H4" i="13"/>
  <c r="H5" i="13"/>
  <c r="H6" i="13"/>
  <c r="H7" i="13"/>
  <c r="H8" i="13"/>
  <c r="H9" i="13"/>
  <c r="H10" i="13"/>
  <c r="H11" i="13"/>
  <c r="H12" i="13"/>
  <c r="H13" i="13"/>
  <c r="H14" i="13"/>
  <c r="H2" i="13"/>
  <c r="G14" i="13"/>
  <c r="F14" i="13"/>
  <c r="D14" i="14"/>
  <c r="E14" i="14"/>
  <c r="F14" i="14"/>
  <c r="G14" i="14"/>
  <c r="H14" i="14"/>
  <c r="C14" i="14"/>
  <c r="E13" i="14"/>
  <c r="E3" i="14"/>
  <c r="E4" i="14"/>
  <c r="E5" i="14"/>
  <c r="E6" i="14"/>
  <c r="E7" i="14"/>
  <c r="E8" i="14"/>
  <c r="E9" i="14"/>
  <c r="E10" i="14"/>
  <c r="E11" i="14"/>
  <c r="E12" i="14"/>
  <c r="E2" i="14"/>
  <c r="H13" i="14"/>
  <c r="H12" i="14"/>
  <c r="H11" i="14"/>
  <c r="H10" i="14"/>
  <c r="H9" i="14"/>
  <c r="H8" i="14"/>
  <c r="H7" i="14"/>
  <c r="H6" i="14"/>
  <c r="H5" i="14"/>
  <c r="H4" i="14"/>
  <c r="H3" i="14"/>
  <c r="H2" i="14"/>
  <c r="D14" i="13"/>
  <c r="E14" i="13"/>
  <c r="C14" i="13"/>
  <c r="E3" i="13"/>
  <c r="E4" i="13"/>
  <c r="E5" i="13"/>
  <c r="E6" i="13"/>
  <c r="E7" i="13"/>
  <c r="E8" i="13"/>
  <c r="E9" i="13"/>
  <c r="E10" i="13"/>
  <c r="E11" i="13"/>
  <c r="E12" i="13"/>
  <c r="E13" i="13"/>
  <c r="E2" i="13"/>
  <c r="D15" i="12" l="1"/>
  <c r="E15" i="12"/>
  <c r="F15" i="12"/>
  <c r="G15" i="12"/>
  <c r="H15" i="12"/>
  <c r="I15" i="12"/>
  <c r="C15" i="12"/>
  <c r="D14" i="9"/>
  <c r="E14" i="9"/>
  <c r="F14" i="9"/>
  <c r="G14" i="9"/>
  <c r="H14" i="9"/>
  <c r="I14" i="9"/>
  <c r="C14" i="9"/>
  <c r="D14" i="8"/>
  <c r="E14" i="8"/>
  <c r="F14" i="8"/>
  <c r="G14" i="8"/>
  <c r="H14" i="8"/>
  <c r="I14" i="8"/>
  <c r="C14" i="8"/>
  <c r="I14" i="7"/>
  <c r="E2" i="7"/>
  <c r="E14" i="7" s="1"/>
  <c r="D14" i="7"/>
  <c r="F14" i="7"/>
  <c r="G14" i="7"/>
  <c r="H14" i="7"/>
  <c r="C14" i="7"/>
  <c r="I14" i="6"/>
  <c r="D14" i="6"/>
  <c r="E14" i="6"/>
  <c r="F14" i="6"/>
  <c r="G14" i="6"/>
  <c r="H14" i="6"/>
  <c r="C14" i="6"/>
  <c r="E3" i="6"/>
  <c r="E4" i="6"/>
  <c r="E5" i="6"/>
  <c r="E6" i="6"/>
  <c r="E7" i="6"/>
  <c r="E8" i="6"/>
  <c r="E9" i="6"/>
  <c r="E10" i="6"/>
  <c r="E11" i="6"/>
  <c r="E12" i="6"/>
  <c r="E13" i="6"/>
  <c r="E2" i="6"/>
  <c r="I14" i="5" l="1"/>
  <c r="I3" i="5"/>
  <c r="I4" i="5"/>
  <c r="I5" i="5"/>
  <c r="I6" i="5"/>
  <c r="I7" i="5"/>
  <c r="I8" i="5"/>
  <c r="I9" i="5"/>
  <c r="I10" i="5"/>
  <c r="I11" i="5"/>
  <c r="I12" i="5"/>
  <c r="I13" i="5"/>
  <c r="I2" i="5"/>
  <c r="D14" i="5"/>
  <c r="E14" i="5"/>
  <c r="F14" i="5"/>
  <c r="G14" i="5"/>
  <c r="H14" i="5"/>
  <c r="C14" i="5"/>
  <c r="D14" i="4"/>
  <c r="E14" i="4"/>
  <c r="F14" i="4"/>
  <c r="G14" i="4"/>
  <c r="H14" i="4"/>
  <c r="I14" i="4"/>
  <c r="C14" i="4"/>
  <c r="I3" i="4"/>
  <c r="I4" i="4"/>
  <c r="I5" i="4"/>
  <c r="I6" i="4"/>
  <c r="I7" i="4"/>
  <c r="I8" i="4"/>
  <c r="I9" i="4"/>
  <c r="I10" i="4"/>
  <c r="I11" i="4"/>
  <c r="I12" i="4"/>
  <c r="I13" i="4"/>
  <c r="I2" i="4"/>
</calcChain>
</file>

<file path=xl/sharedStrings.xml><?xml version="1.0" encoding="utf-8"?>
<sst xmlns="http://schemas.openxmlformats.org/spreadsheetml/2006/main" count="259" uniqueCount="45">
  <si>
    <t>Year</t>
  </si>
  <si>
    <t>Month</t>
  </si>
  <si>
    <t>Kashmir_Domestic</t>
  </si>
  <si>
    <t>Kashmir_Foreign</t>
  </si>
  <si>
    <t>Kashmir_Total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</si>
  <si>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</si>
  <si>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</si>
  <si>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</si>
  <si>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</si>
  <si>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</si>
  <si>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</si>
  <si>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</si>
  <si>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</si>
  <si>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</si>
  <si>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</si>
  <si>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</si>
  <si>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</si>
  <si>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</si>
  <si>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Jammu_domestic</t>
  </si>
  <si>
    <t>Jammu_foreign</t>
  </si>
  <si>
    <t>Jammu_total</t>
  </si>
  <si>
    <t>Kashmir_domestic</t>
  </si>
  <si>
    <t>Kashmir_foreign</t>
  </si>
  <si>
    <t>Kashmir_total</t>
  </si>
  <si>
    <t>Total Tourists in J&amp;K</t>
  </si>
  <si>
    <t>          1527</t>
  </si>
  <si>
    <t>          1069</t>
  </si>
  <si>
    <t>          2854</t>
  </si>
  <si>
    <t>          3140</t>
  </si>
  <si>
    <t>        121713</t>
  </si>
  <si>
    <t>          2849</t>
  </si>
  <si>
    <t>    01</t>
  </si>
  <si>
    <t>    02</t>
  </si>
  <si>
    <t>     0</t>
  </si>
  <si>
    <t>          1689</t>
  </si>
  <si>
    <t>          1898</t>
  </si>
  <si>
    <t>          3930</t>
  </si>
  <si>
    <t>          3963</t>
  </si>
  <si>
    <t>        196700</t>
  </si>
  <si>
    <t>          3581</t>
  </si>
  <si>
    <t>    5364</t>
  </si>
  <si>
    <t>    1317</t>
  </si>
  <si>
    <t>    608</t>
  </si>
  <si>
    <t>Amarnathji Yatries who visited Kashmir during the month of July &amp; August</t>
  </si>
  <si>
    <t>jammu_foreign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</si>
</sst>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BF1929"/>
      <name val="Arial"/>
      <family val="2"/>
    </font>
    <font>
      <sz val="14"/>
      <color rgb="FF212020"/>
      <name val="Arial"/>
      <family val="2"/>
    </font>
    <font>
      <b/>
      <sz val="14"/>
      <color rgb="FF212020"/>
      <name val="Arial"/>
      <family val="2"/>
    </font>
    <font>
      <b/>
      <sz val="13"/>
      <color rgb="FF000000"/>
      <name val="Tahoma"/>
      <family val="2"/>
    </font>
    <font>
      <sz val="13"/>
      <color rgb="FF000000"/>
      <name val="Tahoma"/>
      <family val="2"/>
    </font>
    <font>
      <sz val="1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7" fillId="0" borderId="0" xfId="0" applyFont="1"/>
    <xf numFmtId="0" fontId="6" fillId="0" borderId="0" xfId="0" applyFont="1"/>
    <xf numFmtId="3" fontId="7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9CA7-6DCD-1949-B4D9-6F9D0525CC4A}">
  <dimension ref="A1:J27"/>
  <sheetViews>
    <sheetView workbookViewId="0">
      <selection activeCell="I14" sqref="I14"/>
    </sheetView>
  </sheetViews>
  <sheetFormatPr baseColWidth="10" defaultRowHeight="15" x14ac:dyDescent="0.2"/>
  <cols>
    <col min="3" max="3" width="14.5" bestFit="1" customWidth="1"/>
    <col min="4" max="4" width="12.83203125" bestFit="1" customWidth="1"/>
    <col min="5" max="5" width="11.1640625" bestFit="1" customWidth="1"/>
    <col min="6" max="6" width="15.1640625" bestFit="1" customWidth="1"/>
    <col min="7" max="7" width="13.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9" x14ac:dyDescent="0.25">
      <c r="A2">
        <v>2015</v>
      </c>
      <c r="B2" t="s">
        <v>5</v>
      </c>
      <c r="C2" s="7">
        <v>565700</v>
      </c>
      <c r="D2" s="7">
        <v>574</v>
      </c>
      <c r="E2" s="7">
        <v>566274</v>
      </c>
      <c r="F2" s="7">
        <v>16203</v>
      </c>
      <c r="G2" s="7">
        <v>1221</v>
      </c>
      <c r="H2" s="7">
        <v>17424</v>
      </c>
      <c r="I2" s="6">
        <f>SUM(E2,H2)</f>
        <v>583698</v>
      </c>
    </row>
    <row r="3" spans="1:9" ht="19" x14ac:dyDescent="0.25">
      <c r="A3">
        <v>2015</v>
      </c>
      <c r="B3" t="s">
        <v>6</v>
      </c>
      <c r="C3" s="7">
        <v>443200</v>
      </c>
      <c r="D3" s="7">
        <v>848</v>
      </c>
      <c r="E3" s="7">
        <v>444048</v>
      </c>
      <c r="F3" s="7">
        <v>15161</v>
      </c>
      <c r="G3" s="7">
        <v>1898</v>
      </c>
      <c r="H3" s="7">
        <v>17059</v>
      </c>
      <c r="I3" s="6">
        <f t="shared" ref="I3:I13" si="0">SUM(E3,H3)</f>
        <v>461107</v>
      </c>
    </row>
    <row r="4" spans="1:9" ht="19" x14ac:dyDescent="0.25">
      <c r="A4">
        <v>2015</v>
      </c>
      <c r="B4" t="s">
        <v>7</v>
      </c>
      <c r="C4" s="7">
        <v>1104500</v>
      </c>
      <c r="D4" s="7">
        <v>1378</v>
      </c>
      <c r="E4" s="7">
        <v>1105878</v>
      </c>
      <c r="F4" s="7">
        <v>24596</v>
      </c>
      <c r="G4" s="7">
        <v>1673</v>
      </c>
      <c r="H4" s="7">
        <v>26269</v>
      </c>
      <c r="I4" s="6">
        <f t="shared" si="0"/>
        <v>1132147</v>
      </c>
    </row>
    <row r="5" spans="1:9" ht="19" x14ac:dyDescent="0.25">
      <c r="A5">
        <v>2015</v>
      </c>
      <c r="B5" t="s">
        <v>8</v>
      </c>
      <c r="C5" s="7">
        <v>919100</v>
      </c>
      <c r="D5" s="7">
        <v>2739</v>
      </c>
      <c r="E5" s="7">
        <v>921839</v>
      </c>
      <c r="F5" s="7">
        <v>71075</v>
      </c>
      <c r="G5" s="7">
        <v>3111</v>
      </c>
      <c r="H5" s="7">
        <v>74186</v>
      </c>
      <c r="I5" s="6">
        <f t="shared" si="0"/>
        <v>996025</v>
      </c>
    </row>
    <row r="6" spans="1:9" ht="19" x14ac:dyDescent="0.25">
      <c r="A6">
        <v>2015</v>
      </c>
      <c r="B6" t="s">
        <v>9</v>
      </c>
      <c r="C6" s="7">
        <v>1197300</v>
      </c>
      <c r="D6" s="7">
        <v>1344</v>
      </c>
      <c r="E6" s="7">
        <v>1198644</v>
      </c>
      <c r="F6" s="7">
        <v>151974</v>
      </c>
      <c r="G6" s="7">
        <v>2138</v>
      </c>
      <c r="H6" s="7">
        <v>154112</v>
      </c>
      <c r="I6" s="6">
        <f t="shared" si="0"/>
        <v>1352756</v>
      </c>
    </row>
    <row r="7" spans="1:9" ht="19" x14ac:dyDescent="0.25">
      <c r="A7">
        <v>2015</v>
      </c>
      <c r="B7" t="s">
        <v>10</v>
      </c>
      <c r="C7" s="7">
        <v>1806900</v>
      </c>
      <c r="D7" s="7">
        <v>1212</v>
      </c>
      <c r="E7" s="7">
        <v>1808112</v>
      </c>
      <c r="F7" s="7">
        <v>166016</v>
      </c>
      <c r="G7" s="7">
        <v>2035</v>
      </c>
      <c r="H7" s="7">
        <v>168051</v>
      </c>
      <c r="I7" s="6">
        <f t="shared" si="0"/>
        <v>1976163</v>
      </c>
    </row>
    <row r="8" spans="1:9" ht="19" x14ac:dyDescent="0.25">
      <c r="A8">
        <v>2015</v>
      </c>
      <c r="B8" t="s">
        <v>11</v>
      </c>
      <c r="C8" s="7">
        <v>1369800</v>
      </c>
      <c r="D8" s="7">
        <v>2922</v>
      </c>
      <c r="E8" s="7">
        <v>1372722</v>
      </c>
      <c r="F8" s="7">
        <v>117081</v>
      </c>
      <c r="G8" s="7">
        <v>3428</v>
      </c>
      <c r="H8" s="7">
        <v>120509</v>
      </c>
      <c r="I8" s="6">
        <f t="shared" si="0"/>
        <v>1493231</v>
      </c>
    </row>
    <row r="9" spans="1:9" ht="19" x14ac:dyDescent="0.25">
      <c r="A9">
        <v>2015</v>
      </c>
      <c r="B9" t="s">
        <v>12</v>
      </c>
      <c r="C9" s="7">
        <v>1133400</v>
      </c>
      <c r="D9" s="7">
        <v>5968</v>
      </c>
      <c r="E9" s="7">
        <v>1139368</v>
      </c>
      <c r="F9" s="7">
        <v>75249</v>
      </c>
      <c r="G9" s="7">
        <v>3731</v>
      </c>
      <c r="H9" s="7">
        <v>78980</v>
      </c>
      <c r="I9" s="6">
        <f t="shared" si="0"/>
        <v>1218348</v>
      </c>
    </row>
    <row r="10" spans="1:9" ht="19" x14ac:dyDescent="0.25">
      <c r="A10">
        <v>2015</v>
      </c>
      <c r="B10" t="s">
        <v>13</v>
      </c>
      <c r="C10" s="7">
        <v>984400</v>
      </c>
      <c r="D10" s="7">
        <v>3942</v>
      </c>
      <c r="E10" s="7">
        <v>988342</v>
      </c>
      <c r="F10" s="7">
        <v>55770</v>
      </c>
      <c r="G10" s="7">
        <v>3126</v>
      </c>
      <c r="H10" s="7">
        <v>58896</v>
      </c>
      <c r="I10" s="6">
        <f t="shared" si="0"/>
        <v>1047238</v>
      </c>
    </row>
    <row r="11" spans="1:9" ht="19" x14ac:dyDescent="0.25">
      <c r="A11">
        <v>2015</v>
      </c>
      <c r="B11" t="s">
        <v>14</v>
      </c>
      <c r="C11" s="7">
        <v>1174000</v>
      </c>
      <c r="D11" s="7">
        <v>3733</v>
      </c>
      <c r="E11" s="7">
        <v>1177733</v>
      </c>
      <c r="F11" s="7">
        <v>63651</v>
      </c>
      <c r="G11" s="7">
        <v>2225</v>
      </c>
      <c r="H11" s="7">
        <v>65876</v>
      </c>
      <c r="I11" s="6">
        <f t="shared" si="0"/>
        <v>1243609</v>
      </c>
    </row>
    <row r="12" spans="1:9" ht="19" x14ac:dyDescent="0.25">
      <c r="A12">
        <v>2015</v>
      </c>
      <c r="B12" t="s">
        <v>15</v>
      </c>
      <c r="C12" s="7">
        <v>879000</v>
      </c>
      <c r="D12" s="7">
        <v>1392</v>
      </c>
      <c r="E12" s="7">
        <v>880392</v>
      </c>
      <c r="F12" s="7">
        <v>63177</v>
      </c>
      <c r="G12" s="7">
        <v>1601</v>
      </c>
      <c r="H12" s="7">
        <v>64778</v>
      </c>
      <c r="I12" s="6">
        <f t="shared" si="0"/>
        <v>945170</v>
      </c>
    </row>
    <row r="13" spans="1:9" ht="19" x14ac:dyDescent="0.25">
      <c r="A13">
        <v>2015</v>
      </c>
      <c r="B13" t="s">
        <v>16</v>
      </c>
      <c r="C13" s="7">
        <v>780900</v>
      </c>
      <c r="D13" s="7">
        <v>1147</v>
      </c>
      <c r="E13" s="7">
        <v>782047</v>
      </c>
      <c r="F13" s="7">
        <v>78448</v>
      </c>
      <c r="G13" s="7">
        <v>2767</v>
      </c>
      <c r="H13" s="7">
        <v>81215</v>
      </c>
      <c r="I13" s="6">
        <f t="shared" si="0"/>
        <v>863262</v>
      </c>
    </row>
    <row r="14" spans="1:9" ht="19" x14ac:dyDescent="0.25">
      <c r="B14" s="6" t="s">
        <v>17</v>
      </c>
      <c r="C14" s="6">
        <f>SUM(C2:C13)</f>
        <v>12358200</v>
      </c>
      <c r="D14" s="6">
        <f t="shared" ref="D14:I14" si="1">SUM(D2:D13)</f>
        <v>27199</v>
      </c>
      <c r="E14" s="6">
        <f t="shared" si="1"/>
        <v>12385399</v>
      </c>
      <c r="F14" s="6">
        <f t="shared" si="1"/>
        <v>898401</v>
      </c>
      <c r="G14" s="6">
        <f t="shared" si="1"/>
        <v>28954</v>
      </c>
      <c r="H14" s="6">
        <f t="shared" si="1"/>
        <v>927355</v>
      </c>
      <c r="I14" s="6">
        <f t="shared" si="1"/>
        <v>13312754</v>
      </c>
    </row>
    <row r="16" spans="1:9" ht="18" x14ac:dyDescent="0.2">
      <c r="I16" s="7"/>
    </row>
    <row r="17" spans="3:10" ht="18" x14ac:dyDescent="0.2">
      <c r="C17" s="7"/>
      <c r="J17" s="7"/>
    </row>
    <row r="18" spans="3:10" ht="18" x14ac:dyDescent="0.2">
      <c r="C18" s="7"/>
      <c r="J18" s="7"/>
    </row>
    <row r="19" spans="3:10" ht="18" x14ac:dyDescent="0.2">
      <c r="C19" s="7"/>
      <c r="J19" s="7"/>
    </row>
    <row r="20" spans="3:10" ht="18" x14ac:dyDescent="0.2">
      <c r="C20" s="7"/>
      <c r="J20" s="7"/>
    </row>
    <row r="21" spans="3:10" ht="18" x14ac:dyDescent="0.2">
      <c r="C21" s="7"/>
      <c r="J21" s="7"/>
    </row>
    <row r="22" spans="3:10" ht="18" x14ac:dyDescent="0.2">
      <c r="C22" s="7"/>
      <c r="J22" s="7"/>
    </row>
    <row r="23" spans="3:10" ht="18" x14ac:dyDescent="0.2">
      <c r="C23" s="7"/>
      <c r="J23" s="7"/>
    </row>
    <row r="24" spans="3:10" ht="18" x14ac:dyDescent="0.2">
      <c r="C24" s="7"/>
      <c r="J24" s="7"/>
    </row>
    <row r="25" spans="3:10" ht="18" x14ac:dyDescent="0.2">
      <c r="C25" s="7"/>
      <c r="J25" s="7"/>
    </row>
    <row r="26" spans="3:10" ht="18" x14ac:dyDescent="0.2">
      <c r="C26" s="7"/>
      <c r="J26" s="7"/>
    </row>
    <row r="27" spans="3:10" ht="18" x14ac:dyDescent="0.2">
      <c r="C27" s="7"/>
      <c r="J2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17E6-65CD-DC43-BF87-48B6FDBF1EFF}">
  <dimension ref="A1:I14"/>
  <sheetViews>
    <sheetView workbookViewId="0">
      <selection sqref="A1:I1"/>
    </sheetView>
  </sheetViews>
  <sheetFormatPr baseColWidth="10" defaultRowHeight="15" x14ac:dyDescent="0.2"/>
  <cols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2016</v>
      </c>
      <c r="B2" t="s">
        <v>5</v>
      </c>
      <c r="C2" s="7">
        <v>791967</v>
      </c>
      <c r="D2" s="7">
        <v>633</v>
      </c>
      <c r="E2" s="7">
        <v>792600</v>
      </c>
      <c r="F2" s="7">
        <v>73962</v>
      </c>
      <c r="G2" s="7">
        <v>1405</v>
      </c>
      <c r="H2" s="7">
        <v>75367</v>
      </c>
      <c r="I2" s="7">
        <f>SUM(E2,H2)</f>
        <v>867967</v>
      </c>
    </row>
    <row r="3" spans="1:9" ht="18" x14ac:dyDescent="0.2">
      <c r="A3">
        <v>2016</v>
      </c>
      <c r="B3" t="s">
        <v>6</v>
      </c>
      <c r="C3" s="7">
        <v>573512</v>
      </c>
      <c r="D3" s="7">
        <v>888</v>
      </c>
      <c r="E3" s="7">
        <v>574400</v>
      </c>
      <c r="F3" s="7">
        <v>77850</v>
      </c>
      <c r="G3" s="7">
        <v>2539</v>
      </c>
      <c r="H3" s="7">
        <v>80389</v>
      </c>
      <c r="I3" s="7">
        <f t="shared" ref="I3:I13" si="0">SUM(E3,H3)</f>
        <v>654789</v>
      </c>
    </row>
    <row r="4" spans="1:9" ht="18" x14ac:dyDescent="0.2">
      <c r="A4">
        <v>2016</v>
      </c>
      <c r="B4" t="s">
        <v>7</v>
      </c>
      <c r="C4" s="7">
        <v>1105190</v>
      </c>
      <c r="D4" s="7">
        <v>1810</v>
      </c>
      <c r="E4" s="7">
        <v>1107000</v>
      </c>
      <c r="F4" s="7">
        <v>101081</v>
      </c>
      <c r="G4" s="7">
        <v>3177</v>
      </c>
      <c r="H4" s="7">
        <v>104858</v>
      </c>
      <c r="I4" s="7">
        <f t="shared" si="0"/>
        <v>1211858</v>
      </c>
    </row>
    <row r="5" spans="1:9" ht="18" x14ac:dyDescent="0.2">
      <c r="A5">
        <v>2016</v>
      </c>
      <c r="B5" t="s">
        <v>8</v>
      </c>
      <c r="C5" s="7">
        <v>1272894</v>
      </c>
      <c r="D5" s="7">
        <v>2606</v>
      </c>
      <c r="E5" s="7">
        <v>1275500</v>
      </c>
      <c r="F5" s="7">
        <v>138308</v>
      </c>
      <c r="G5" s="7">
        <v>4621</v>
      </c>
      <c r="H5" s="7">
        <v>142929</v>
      </c>
      <c r="I5" s="7">
        <f t="shared" si="0"/>
        <v>1418429</v>
      </c>
    </row>
    <row r="6" spans="1:9" ht="18" x14ac:dyDescent="0.2">
      <c r="A6">
        <v>2016</v>
      </c>
      <c r="B6" t="s">
        <v>9</v>
      </c>
      <c r="C6" s="7">
        <v>1378037</v>
      </c>
      <c r="D6" s="7">
        <v>1763</v>
      </c>
      <c r="E6" s="7">
        <v>1379800</v>
      </c>
      <c r="F6" s="7">
        <v>273736</v>
      </c>
      <c r="G6" s="7">
        <v>2469</v>
      </c>
      <c r="H6" s="7">
        <v>276205</v>
      </c>
      <c r="I6" s="7">
        <f t="shared" si="0"/>
        <v>1656005</v>
      </c>
    </row>
    <row r="7" spans="1:9" ht="18" x14ac:dyDescent="0.2">
      <c r="A7">
        <v>2016</v>
      </c>
      <c r="B7" t="s">
        <v>10</v>
      </c>
      <c r="C7" s="7">
        <v>1785602</v>
      </c>
      <c r="D7" s="7">
        <v>1298</v>
      </c>
      <c r="E7" s="7">
        <v>1786900</v>
      </c>
      <c r="F7" s="7">
        <v>329294</v>
      </c>
      <c r="G7" s="7">
        <v>2201</v>
      </c>
      <c r="H7" s="7">
        <v>331495</v>
      </c>
      <c r="I7" s="7">
        <f t="shared" si="0"/>
        <v>2118395</v>
      </c>
    </row>
    <row r="8" spans="1:9" ht="18" x14ac:dyDescent="0.2">
      <c r="A8">
        <v>2016</v>
      </c>
      <c r="B8" t="s">
        <v>11</v>
      </c>
      <c r="C8" s="7">
        <v>1224203</v>
      </c>
      <c r="D8" s="7">
        <v>3497</v>
      </c>
      <c r="E8" s="7">
        <v>1227700</v>
      </c>
      <c r="F8" s="7">
        <v>127206</v>
      </c>
      <c r="G8" s="7">
        <v>2561</v>
      </c>
      <c r="H8" s="7">
        <v>129767</v>
      </c>
      <c r="I8" s="7">
        <f t="shared" si="0"/>
        <v>1357467</v>
      </c>
    </row>
    <row r="9" spans="1:9" ht="18" x14ac:dyDescent="0.2">
      <c r="A9">
        <v>2016</v>
      </c>
      <c r="B9" t="s">
        <v>12</v>
      </c>
      <c r="C9" s="7">
        <v>898728</v>
      </c>
      <c r="D9" s="7">
        <v>7972</v>
      </c>
      <c r="E9" s="7">
        <v>906700</v>
      </c>
      <c r="F9" s="7">
        <v>40199</v>
      </c>
      <c r="G9" s="7">
        <v>1239</v>
      </c>
      <c r="H9" s="7">
        <v>41438</v>
      </c>
      <c r="I9" s="7">
        <f t="shared" si="0"/>
        <v>948138</v>
      </c>
    </row>
    <row r="10" spans="1:9" ht="18" x14ac:dyDescent="0.2">
      <c r="A10">
        <v>2016</v>
      </c>
      <c r="B10" t="s">
        <v>13</v>
      </c>
      <c r="C10" s="7">
        <v>823506</v>
      </c>
      <c r="D10" s="7">
        <v>3194</v>
      </c>
      <c r="E10" s="7">
        <v>826700</v>
      </c>
      <c r="F10" s="7">
        <v>30540</v>
      </c>
      <c r="G10" s="7">
        <v>1012</v>
      </c>
      <c r="H10" s="7">
        <v>31552</v>
      </c>
      <c r="I10" s="7">
        <f t="shared" si="0"/>
        <v>858252</v>
      </c>
    </row>
    <row r="11" spans="1:9" ht="18" x14ac:dyDescent="0.2">
      <c r="A11">
        <v>2016</v>
      </c>
      <c r="B11" t="s">
        <v>14</v>
      </c>
      <c r="C11" s="7">
        <v>823415</v>
      </c>
      <c r="D11" s="7">
        <v>3585</v>
      </c>
      <c r="E11" s="7">
        <v>827000</v>
      </c>
      <c r="F11" s="7">
        <v>29051</v>
      </c>
      <c r="G11" s="7">
        <v>854</v>
      </c>
      <c r="H11" s="7">
        <v>29905</v>
      </c>
      <c r="I11" s="7">
        <f t="shared" si="0"/>
        <v>856905</v>
      </c>
    </row>
    <row r="12" spans="1:9" ht="18" x14ac:dyDescent="0.2">
      <c r="A12">
        <v>2016</v>
      </c>
      <c r="B12" t="s">
        <v>15</v>
      </c>
      <c r="C12" s="7">
        <v>688033</v>
      </c>
      <c r="D12" s="7">
        <v>1367</v>
      </c>
      <c r="E12" s="7">
        <v>689400</v>
      </c>
      <c r="F12" s="7">
        <v>23015</v>
      </c>
      <c r="G12" s="7">
        <v>554</v>
      </c>
      <c r="H12" s="7">
        <v>23569</v>
      </c>
      <c r="I12" s="7">
        <f t="shared" si="0"/>
        <v>712969</v>
      </c>
    </row>
    <row r="13" spans="1:9" ht="18" x14ac:dyDescent="0.2">
      <c r="A13">
        <v>2016</v>
      </c>
      <c r="B13" t="s">
        <v>16</v>
      </c>
      <c r="C13" s="7">
        <v>890744</v>
      </c>
      <c r="D13" s="7">
        <v>856</v>
      </c>
      <c r="E13" s="7">
        <v>891600</v>
      </c>
      <c r="F13" s="7">
        <v>30722</v>
      </c>
      <c r="G13" s="7">
        <v>1884</v>
      </c>
      <c r="H13" s="7">
        <v>32606</v>
      </c>
      <c r="I13" s="7">
        <f t="shared" si="0"/>
        <v>924206</v>
      </c>
    </row>
    <row r="14" spans="1:9" ht="19" x14ac:dyDescent="0.25">
      <c r="B14" s="6" t="s">
        <v>17</v>
      </c>
      <c r="C14" s="6">
        <f>SUM(C2:C13)</f>
        <v>12255831</v>
      </c>
      <c r="D14" s="6">
        <f t="shared" ref="D14:I14" si="1">SUM(D2:D13)</f>
        <v>29469</v>
      </c>
      <c r="E14" s="6">
        <f t="shared" si="1"/>
        <v>12285300</v>
      </c>
      <c r="F14" s="6">
        <f t="shared" si="1"/>
        <v>1274964</v>
      </c>
      <c r="G14" s="6">
        <f t="shared" si="1"/>
        <v>24516</v>
      </c>
      <c r="H14" s="6">
        <f t="shared" si="1"/>
        <v>1300080</v>
      </c>
      <c r="I14" s="6">
        <f t="shared" si="1"/>
        <v>13585380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3A4A-024A-7447-B8AD-79FE708177A9}">
  <dimension ref="A1:I14"/>
  <sheetViews>
    <sheetView workbookViewId="0">
      <selection sqref="A1:I1"/>
    </sheetView>
  </sheetViews>
  <sheetFormatPr baseColWidth="10" defaultRowHeight="15" x14ac:dyDescent="0.2"/>
  <cols>
    <col min="2" max="2" width="13.33203125" bestFit="1" customWidth="1"/>
    <col min="3" max="3" width="14.6640625" bestFit="1" customWidth="1"/>
    <col min="4" max="4" width="13" bestFit="1" customWidth="1"/>
    <col min="5" max="5" width="11.83203125" bestFit="1" customWidth="1"/>
    <col min="6" max="6" width="15.33203125" bestFit="1" customWidth="1"/>
    <col min="7" max="7" width="13.664062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2017</v>
      </c>
      <c r="B2" s="7" t="s">
        <v>5</v>
      </c>
      <c r="C2" s="7">
        <v>661512</v>
      </c>
      <c r="D2" s="7">
        <v>88</v>
      </c>
      <c r="E2" s="7">
        <f>SUM(C2:D2)</f>
        <v>661600</v>
      </c>
      <c r="F2" s="7">
        <v>26953</v>
      </c>
      <c r="G2" s="7">
        <v>1213</v>
      </c>
      <c r="H2" s="7">
        <v>28166</v>
      </c>
      <c r="I2" s="7">
        <v>689766</v>
      </c>
    </row>
    <row r="3" spans="1:9" ht="18" x14ac:dyDescent="0.2">
      <c r="A3">
        <v>2017</v>
      </c>
      <c r="B3" s="7" t="s">
        <v>6</v>
      </c>
      <c r="C3" s="7">
        <v>754091</v>
      </c>
      <c r="D3" s="7">
        <v>109</v>
      </c>
      <c r="E3" s="7">
        <f t="shared" ref="E3:E13" si="0">SUM(C3:D3)</f>
        <v>754200</v>
      </c>
      <c r="F3" s="7">
        <v>36613</v>
      </c>
      <c r="G3" s="7">
        <v>1645</v>
      </c>
      <c r="H3" s="7">
        <v>38258</v>
      </c>
      <c r="I3" s="7">
        <v>792458</v>
      </c>
    </row>
    <row r="4" spans="1:9" ht="18" x14ac:dyDescent="0.2">
      <c r="A4">
        <v>2017</v>
      </c>
      <c r="B4" s="7" t="s">
        <v>7</v>
      </c>
      <c r="C4" s="7">
        <v>1059110</v>
      </c>
      <c r="D4" s="7">
        <v>90</v>
      </c>
      <c r="E4" s="7">
        <f t="shared" si="0"/>
        <v>1059200</v>
      </c>
      <c r="F4" s="7">
        <v>43885</v>
      </c>
      <c r="G4" s="7">
        <v>3107</v>
      </c>
      <c r="H4" s="7">
        <v>46992</v>
      </c>
      <c r="I4" s="7">
        <v>1106192</v>
      </c>
    </row>
    <row r="5" spans="1:9" ht="18" x14ac:dyDescent="0.2">
      <c r="A5">
        <v>2017</v>
      </c>
      <c r="B5" s="7" t="s">
        <v>8</v>
      </c>
      <c r="C5" s="7">
        <v>1289081</v>
      </c>
      <c r="D5" s="7">
        <v>119</v>
      </c>
      <c r="E5" s="7">
        <f t="shared" si="0"/>
        <v>1289200</v>
      </c>
      <c r="F5" s="7">
        <v>62083</v>
      </c>
      <c r="G5" s="7">
        <v>4995</v>
      </c>
      <c r="H5" s="7">
        <v>67078</v>
      </c>
      <c r="I5" s="7">
        <v>1356278</v>
      </c>
    </row>
    <row r="6" spans="1:9" ht="18" x14ac:dyDescent="0.2">
      <c r="A6">
        <v>2017</v>
      </c>
      <c r="B6" s="7" t="s">
        <v>9</v>
      </c>
      <c r="C6" s="7">
        <v>1279308</v>
      </c>
      <c r="D6" s="7">
        <v>92</v>
      </c>
      <c r="E6" s="7">
        <f t="shared" si="0"/>
        <v>1279400</v>
      </c>
      <c r="F6" s="7">
        <v>104320</v>
      </c>
      <c r="G6" s="7">
        <v>2001</v>
      </c>
      <c r="H6" s="7">
        <v>106321</v>
      </c>
      <c r="I6" s="7">
        <v>1385721</v>
      </c>
    </row>
    <row r="7" spans="1:9" ht="18" x14ac:dyDescent="0.2">
      <c r="A7">
        <v>2017</v>
      </c>
      <c r="B7" s="7" t="s">
        <v>10</v>
      </c>
      <c r="C7" s="7">
        <v>1569383</v>
      </c>
      <c r="D7" s="7">
        <v>17</v>
      </c>
      <c r="E7" s="7">
        <f t="shared" si="0"/>
        <v>1569400</v>
      </c>
      <c r="F7" s="7">
        <v>120273</v>
      </c>
      <c r="G7" s="7">
        <v>1766</v>
      </c>
      <c r="H7" s="7">
        <v>122039</v>
      </c>
      <c r="I7" s="7">
        <v>1691439</v>
      </c>
    </row>
    <row r="8" spans="1:9" ht="18" x14ac:dyDescent="0.2">
      <c r="A8">
        <v>2017</v>
      </c>
      <c r="B8" s="7" t="s">
        <v>11</v>
      </c>
      <c r="C8" s="7">
        <v>1405063</v>
      </c>
      <c r="D8" s="7">
        <v>137</v>
      </c>
      <c r="E8" s="7">
        <f t="shared" si="0"/>
        <v>1405200</v>
      </c>
      <c r="F8" s="7">
        <v>205042</v>
      </c>
      <c r="G8" s="7">
        <v>2381</v>
      </c>
      <c r="H8" s="7">
        <v>207423</v>
      </c>
      <c r="I8" s="7">
        <v>1612623</v>
      </c>
    </row>
    <row r="9" spans="1:9" ht="18" x14ac:dyDescent="0.2">
      <c r="A9">
        <v>2017</v>
      </c>
      <c r="B9" s="7" t="s">
        <v>12</v>
      </c>
      <c r="C9" s="7">
        <v>937724</v>
      </c>
      <c r="D9" s="7">
        <v>276</v>
      </c>
      <c r="E9" s="7">
        <f t="shared" si="0"/>
        <v>938000</v>
      </c>
      <c r="F9" s="7">
        <v>161608</v>
      </c>
      <c r="G9" s="7">
        <v>2802</v>
      </c>
      <c r="H9" s="7">
        <v>164410</v>
      </c>
      <c r="I9" s="7">
        <v>1102410</v>
      </c>
    </row>
    <row r="10" spans="1:9" ht="18" x14ac:dyDescent="0.2">
      <c r="A10">
        <v>2017</v>
      </c>
      <c r="B10" s="7" t="s">
        <v>13</v>
      </c>
      <c r="C10" s="7">
        <v>1150603</v>
      </c>
      <c r="D10" s="7">
        <v>197</v>
      </c>
      <c r="E10" s="7">
        <f t="shared" si="0"/>
        <v>1150800</v>
      </c>
      <c r="F10" s="7">
        <v>132034</v>
      </c>
      <c r="G10" s="7">
        <v>3636</v>
      </c>
      <c r="H10" s="7">
        <v>135670</v>
      </c>
      <c r="I10" s="7">
        <v>1286470</v>
      </c>
    </row>
    <row r="11" spans="1:9" ht="18" x14ac:dyDescent="0.2">
      <c r="A11">
        <v>2017</v>
      </c>
      <c r="B11" s="7" t="s">
        <v>14</v>
      </c>
      <c r="C11" s="7">
        <v>978674</v>
      </c>
      <c r="D11" s="7">
        <v>126</v>
      </c>
      <c r="E11" s="7">
        <f t="shared" si="0"/>
        <v>978800</v>
      </c>
      <c r="F11" s="7">
        <v>130578</v>
      </c>
      <c r="G11" s="7">
        <v>2642</v>
      </c>
      <c r="H11" s="7">
        <v>133220</v>
      </c>
      <c r="I11" s="7">
        <v>1112020</v>
      </c>
    </row>
    <row r="12" spans="1:9" ht="18" x14ac:dyDescent="0.2">
      <c r="A12">
        <v>2017</v>
      </c>
      <c r="B12" s="7" t="s">
        <v>15</v>
      </c>
      <c r="C12" s="7">
        <v>839743</v>
      </c>
      <c r="D12" s="7">
        <v>157</v>
      </c>
      <c r="E12" s="7">
        <f t="shared" si="0"/>
        <v>839900</v>
      </c>
      <c r="F12" s="7">
        <v>110332</v>
      </c>
      <c r="G12" s="7">
        <v>1969</v>
      </c>
      <c r="H12" s="7">
        <v>112301</v>
      </c>
      <c r="I12" s="7">
        <v>952201</v>
      </c>
    </row>
    <row r="13" spans="1:9" ht="18" x14ac:dyDescent="0.2">
      <c r="A13">
        <v>2017</v>
      </c>
      <c r="B13" s="7" t="s">
        <v>16</v>
      </c>
      <c r="C13" s="7">
        <v>1392252</v>
      </c>
      <c r="D13" s="7">
        <v>148</v>
      </c>
      <c r="E13" s="7">
        <f t="shared" si="0"/>
        <v>1392400</v>
      </c>
      <c r="F13" s="7">
        <v>63220</v>
      </c>
      <c r="G13" s="7">
        <v>3540</v>
      </c>
      <c r="H13" s="7">
        <v>66760</v>
      </c>
      <c r="I13" s="7">
        <v>1459160</v>
      </c>
    </row>
    <row r="14" spans="1:9" ht="18" x14ac:dyDescent="0.2">
      <c r="B14" s="8" t="s">
        <v>17</v>
      </c>
      <c r="C14" s="8">
        <f>SUM(C2:C13)</f>
        <v>13316544</v>
      </c>
      <c r="D14" s="8">
        <f t="shared" ref="D14:H14" si="1">SUM(D2:D13)</f>
        <v>1556</v>
      </c>
      <c r="E14" s="8">
        <f t="shared" si="1"/>
        <v>13318100</v>
      </c>
      <c r="F14" s="8">
        <f t="shared" si="1"/>
        <v>1196941</v>
      </c>
      <c r="G14" s="8">
        <f t="shared" si="1"/>
        <v>31697</v>
      </c>
      <c r="H14" s="8">
        <f t="shared" si="1"/>
        <v>1228638</v>
      </c>
      <c r="I14" s="8">
        <f>SUM(I2:I13)</f>
        <v>14546738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0A9F-2C1E-E544-8C26-4E5E68CCCFA5}">
  <dimension ref="A1:I14"/>
  <sheetViews>
    <sheetView workbookViewId="0">
      <selection sqref="A1:I1"/>
    </sheetView>
  </sheetViews>
  <sheetFormatPr baseColWidth="10" defaultRowHeight="15" x14ac:dyDescent="0.2"/>
  <cols>
    <col min="3" max="3" width="14.6640625" bestFit="1" customWidth="1"/>
    <col min="4" max="4" width="13" bestFit="1" customWidth="1"/>
    <col min="5" max="5" width="11.83203125" bestFit="1" customWidth="1"/>
    <col min="6" max="6" width="15.33203125" bestFit="1" customWidth="1"/>
    <col min="7" max="7" width="13.664062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2018</v>
      </c>
      <c r="B2" s="7" t="s">
        <v>5</v>
      </c>
      <c r="C2" s="7">
        <v>920766</v>
      </c>
      <c r="D2" s="7">
        <v>546</v>
      </c>
      <c r="E2" s="7">
        <f>SUM(C2:D2)</f>
        <v>921312</v>
      </c>
      <c r="F2" s="7">
        <v>45140</v>
      </c>
      <c r="G2" s="7">
        <v>2369</v>
      </c>
      <c r="H2" s="7">
        <v>47509</v>
      </c>
      <c r="I2" s="7">
        <v>968821</v>
      </c>
    </row>
    <row r="3" spans="1:9" ht="18" x14ac:dyDescent="0.2">
      <c r="A3">
        <v>2018</v>
      </c>
      <c r="B3" s="7" t="s">
        <v>6</v>
      </c>
      <c r="C3" s="7">
        <v>846815</v>
      </c>
      <c r="D3" s="7">
        <v>1045</v>
      </c>
      <c r="E3" s="7">
        <v>847860</v>
      </c>
      <c r="F3" s="7">
        <v>24514</v>
      </c>
      <c r="G3" s="7">
        <v>3631</v>
      </c>
      <c r="H3" s="7">
        <v>28145</v>
      </c>
      <c r="I3" s="7">
        <v>876005</v>
      </c>
    </row>
    <row r="4" spans="1:9" ht="18" x14ac:dyDescent="0.2">
      <c r="A4">
        <v>2018</v>
      </c>
      <c r="B4" s="7" t="s">
        <v>7</v>
      </c>
      <c r="C4" s="7">
        <v>1491917</v>
      </c>
      <c r="D4" s="7">
        <v>1799</v>
      </c>
      <c r="E4" s="7">
        <v>1493716</v>
      </c>
      <c r="F4" s="7">
        <v>30339</v>
      </c>
      <c r="G4" s="7">
        <v>6113</v>
      </c>
      <c r="H4" s="7">
        <v>36452</v>
      </c>
      <c r="I4" s="7">
        <v>1530168</v>
      </c>
    </row>
    <row r="5" spans="1:9" ht="18" x14ac:dyDescent="0.2">
      <c r="A5">
        <v>2018</v>
      </c>
      <c r="B5" s="7" t="s">
        <v>8</v>
      </c>
      <c r="C5" s="7">
        <v>1166740</v>
      </c>
      <c r="D5" s="7">
        <v>2575</v>
      </c>
      <c r="E5" s="7">
        <v>1169315</v>
      </c>
      <c r="F5" s="7">
        <v>43625</v>
      </c>
      <c r="G5" s="7">
        <v>9517</v>
      </c>
      <c r="H5" s="7">
        <v>53142</v>
      </c>
      <c r="I5" s="7">
        <v>1222457</v>
      </c>
    </row>
    <row r="6" spans="1:9" ht="18" x14ac:dyDescent="0.2">
      <c r="A6">
        <v>2018</v>
      </c>
      <c r="B6" s="7" t="s">
        <v>9</v>
      </c>
      <c r="C6" s="7">
        <v>1880660</v>
      </c>
      <c r="D6" s="7">
        <v>1637</v>
      </c>
      <c r="E6" s="7">
        <v>1882297</v>
      </c>
      <c r="F6" s="7">
        <v>103853</v>
      </c>
      <c r="G6" s="7">
        <v>2360</v>
      </c>
      <c r="H6" s="7">
        <v>106213</v>
      </c>
      <c r="I6" s="7">
        <v>1988510</v>
      </c>
    </row>
    <row r="7" spans="1:9" ht="18" x14ac:dyDescent="0.2">
      <c r="A7">
        <v>2018</v>
      </c>
      <c r="B7" s="7" t="s">
        <v>10</v>
      </c>
      <c r="C7" s="7">
        <v>2035010</v>
      </c>
      <c r="D7" s="7">
        <v>1353</v>
      </c>
      <c r="E7" s="7">
        <v>2036363</v>
      </c>
      <c r="F7" s="7">
        <v>117817</v>
      </c>
      <c r="G7" s="7">
        <v>3031</v>
      </c>
      <c r="H7" s="7">
        <v>120848</v>
      </c>
      <c r="I7" s="7">
        <v>2157211</v>
      </c>
    </row>
    <row r="8" spans="1:9" ht="18" x14ac:dyDescent="0.2">
      <c r="A8">
        <v>2018</v>
      </c>
      <c r="B8" s="7" t="s">
        <v>11</v>
      </c>
      <c r="C8" s="7">
        <v>1498550</v>
      </c>
      <c r="D8" s="7">
        <v>2983</v>
      </c>
      <c r="E8" s="7">
        <v>1501533</v>
      </c>
      <c r="F8" s="7">
        <v>118245</v>
      </c>
      <c r="G8" s="7">
        <v>3780</v>
      </c>
      <c r="H8" s="7">
        <v>122025</v>
      </c>
      <c r="I8" s="7">
        <v>1623558</v>
      </c>
    </row>
    <row r="9" spans="1:9" ht="18" x14ac:dyDescent="0.2">
      <c r="A9">
        <v>2018</v>
      </c>
      <c r="B9" s="7" t="s">
        <v>12</v>
      </c>
      <c r="C9" s="7">
        <v>1434479</v>
      </c>
      <c r="D9" s="7">
        <v>9564</v>
      </c>
      <c r="E9" s="7">
        <v>1444043</v>
      </c>
      <c r="F9" s="7">
        <v>79695</v>
      </c>
      <c r="G9" s="7">
        <v>5839</v>
      </c>
      <c r="H9" s="7">
        <v>85534</v>
      </c>
      <c r="I9" s="7">
        <v>1529577</v>
      </c>
    </row>
    <row r="10" spans="1:9" ht="18" x14ac:dyDescent="0.2">
      <c r="A10">
        <v>2018</v>
      </c>
      <c r="B10" s="7" t="s">
        <v>13</v>
      </c>
      <c r="C10" s="7">
        <v>1193911</v>
      </c>
      <c r="D10" s="7">
        <v>5196</v>
      </c>
      <c r="E10" s="7">
        <v>1199107</v>
      </c>
      <c r="F10" s="7">
        <v>96523</v>
      </c>
      <c r="G10" s="7">
        <v>6672</v>
      </c>
      <c r="H10" s="7">
        <v>103195</v>
      </c>
      <c r="I10" s="7">
        <v>1302302</v>
      </c>
    </row>
    <row r="11" spans="1:9" ht="18" x14ac:dyDescent="0.2">
      <c r="A11">
        <v>2018</v>
      </c>
      <c r="B11" s="7" t="s">
        <v>14</v>
      </c>
      <c r="C11" s="7">
        <v>1300002</v>
      </c>
      <c r="D11" s="7">
        <v>5186</v>
      </c>
      <c r="E11" s="7">
        <v>1305188</v>
      </c>
      <c r="F11" s="7">
        <v>51712</v>
      </c>
      <c r="G11" s="7">
        <v>4239</v>
      </c>
      <c r="H11" s="7">
        <v>55951</v>
      </c>
      <c r="I11" s="7">
        <v>1361139</v>
      </c>
    </row>
    <row r="12" spans="1:9" ht="18" x14ac:dyDescent="0.2">
      <c r="A12">
        <v>2018</v>
      </c>
      <c r="B12" s="7" t="s">
        <v>15</v>
      </c>
      <c r="C12" s="7">
        <v>1099782</v>
      </c>
      <c r="D12" s="7">
        <v>1150</v>
      </c>
      <c r="E12" s="7">
        <v>1100932</v>
      </c>
      <c r="F12" s="7">
        <v>31087</v>
      </c>
      <c r="G12" s="7">
        <v>2633</v>
      </c>
      <c r="H12" s="7">
        <v>33720</v>
      </c>
      <c r="I12" s="7">
        <v>1134652</v>
      </c>
    </row>
    <row r="13" spans="1:9" ht="18" x14ac:dyDescent="0.2">
      <c r="A13">
        <v>2018</v>
      </c>
      <c r="B13" s="7" t="s">
        <v>16</v>
      </c>
      <c r="C13" s="7">
        <v>1144621</v>
      </c>
      <c r="D13" s="7">
        <v>980</v>
      </c>
      <c r="E13" s="7">
        <v>1145601</v>
      </c>
      <c r="F13" s="7">
        <v>32179</v>
      </c>
      <c r="G13" s="7">
        <v>5845</v>
      </c>
      <c r="H13" s="7">
        <v>38024</v>
      </c>
      <c r="I13" s="7">
        <v>1183625</v>
      </c>
    </row>
    <row r="14" spans="1:9" ht="18" x14ac:dyDescent="0.2">
      <c r="B14" s="8" t="s">
        <v>17</v>
      </c>
      <c r="C14" s="8">
        <f>SUM(C2:C13)</f>
        <v>16013253</v>
      </c>
      <c r="D14" s="8">
        <f t="shared" ref="D14:H14" si="0">SUM(D2:D13)</f>
        <v>34014</v>
      </c>
      <c r="E14" s="8">
        <f t="shared" si="0"/>
        <v>16047267</v>
      </c>
      <c r="F14" s="8">
        <f t="shared" si="0"/>
        <v>774729</v>
      </c>
      <c r="G14" s="8">
        <f t="shared" si="0"/>
        <v>56029</v>
      </c>
      <c r="H14" s="8">
        <f t="shared" si="0"/>
        <v>830758</v>
      </c>
      <c r="I14" s="8">
        <f>SUM(I2:I13)</f>
        <v>16878025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DB4A-FEEA-0A4B-B5EF-05238B15F76E}">
  <dimension ref="A1:I14"/>
  <sheetViews>
    <sheetView workbookViewId="0">
      <selection sqref="A1:I1"/>
    </sheetView>
  </sheetViews>
  <sheetFormatPr baseColWidth="10" defaultRowHeight="15" x14ac:dyDescent="0.2"/>
  <cols>
    <col min="2" max="2" width="13.33203125" bestFit="1" customWidth="1"/>
    <col min="3" max="3" width="14.6640625" bestFit="1" customWidth="1"/>
    <col min="4" max="4" width="13" bestFit="1" customWidth="1"/>
    <col min="5" max="5" width="11.1640625" bestFit="1" customWidth="1"/>
    <col min="6" max="6" width="15.33203125" bestFit="1" customWidth="1"/>
    <col min="7" max="7" width="13.664062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2019</v>
      </c>
      <c r="B2" s="7" t="s">
        <v>5</v>
      </c>
      <c r="C2" s="7">
        <v>976966</v>
      </c>
      <c r="D2" s="7">
        <v>649</v>
      </c>
      <c r="E2" s="7">
        <v>977615</v>
      </c>
      <c r="F2" s="7">
        <v>22615</v>
      </c>
      <c r="G2" s="7">
        <v>2480</v>
      </c>
      <c r="H2" s="7">
        <v>25095</v>
      </c>
      <c r="I2" s="7">
        <v>1002710</v>
      </c>
    </row>
    <row r="3" spans="1:9" ht="18" x14ac:dyDescent="0.2">
      <c r="A3">
        <v>2019</v>
      </c>
      <c r="B3" s="7" t="s">
        <v>6</v>
      </c>
      <c r="C3" s="7">
        <v>625526</v>
      </c>
      <c r="D3" s="7">
        <v>841</v>
      </c>
      <c r="E3" s="7">
        <v>626367</v>
      </c>
      <c r="F3" s="7">
        <v>11395</v>
      </c>
      <c r="G3" s="7">
        <v>4508</v>
      </c>
      <c r="H3" s="7">
        <v>15903</v>
      </c>
      <c r="I3" s="7">
        <v>642270</v>
      </c>
    </row>
    <row r="4" spans="1:9" ht="18" x14ac:dyDescent="0.2">
      <c r="A4">
        <v>2019</v>
      </c>
      <c r="B4" s="7" t="s">
        <v>7</v>
      </c>
      <c r="C4" s="7">
        <v>1137937</v>
      </c>
      <c r="D4" s="7">
        <v>869</v>
      </c>
      <c r="E4" s="7">
        <v>1138806</v>
      </c>
      <c r="F4" s="7">
        <v>14805</v>
      </c>
      <c r="G4" s="7">
        <v>6432</v>
      </c>
      <c r="H4" s="7">
        <v>21237</v>
      </c>
      <c r="I4" s="7">
        <v>1160043</v>
      </c>
    </row>
    <row r="5" spans="1:9" ht="18" x14ac:dyDescent="0.2">
      <c r="A5">
        <v>2019</v>
      </c>
      <c r="B5" s="7" t="s">
        <v>8</v>
      </c>
      <c r="C5" s="7">
        <v>1415540</v>
      </c>
      <c r="D5" s="7">
        <v>2345</v>
      </c>
      <c r="E5" s="7">
        <v>1417885</v>
      </c>
      <c r="F5" s="7">
        <v>53648</v>
      </c>
      <c r="G5" s="7">
        <v>8167</v>
      </c>
      <c r="H5" s="7">
        <v>61815</v>
      </c>
      <c r="I5" s="7">
        <v>1479700</v>
      </c>
    </row>
    <row r="6" spans="1:9" ht="18" x14ac:dyDescent="0.2">
      <c r="A6">
        <v>2019</v>
      </c>
      <c r="B6" s="7" t="s">
        <v>9</v>
      </c>
      <c r="C6" s="7">
        <v>1384355</v>
      </c>
      <c r="D6" s="7">
        <v>1077</v>
      </c>
      <c r="E6" s="7">
        <v>1385432</v>
      </c>
      <c r="F6" s="7">
        <v>79633</v>
      </c>
      <c r="G6" s="7">
        <v>1506</v>
      </c>
      <c r="H6" s="7">
        <v>81139</v>
      </c>
      <c r="I6" s="7">
        <v>1466571</v>
      </c>
    </row>
    <row r="7" spans="1:9" ht="18" x14ac:dyDescent="0.2">
      <c r="A7">
        <v>2019</v>
      </c>
      <c r="B7" s="7" t="s">
        <v>10</v>
      </c>
      <c r="C7" s="7">
        <v>2510891</v>
      </c>
      <c r="D7" s="7">
        <v>1165</v>
      </c>
      <c r="E7" s="7">
        <v>2512056</v>
      </c>
      <c r="F7" s="7">
        <v>162090</v>
      </c>
      <c r="G7" s="7">
        <v>2669</v>
      </c>
      <c r="H7" s="7">
        <v>164759</v>
      </c>
      <c r="I7" s="7">
        <v>2676815</v>
      </c>
    </row>
    <row r="8" spans="1:9" ht="18" x14ac:dyDescent="0.2">
      <c r="A8">
        <v>2019</v>
      </c>
      <c r="B8" s="7" t="s">
        <v>11</v>
      </c>
      <c r="C8" s="7">
        <v>2234900</v>
      </c>
      <c r="D8" s="7">
        <v>2706</v>
      </c>
      <c r="E8" s="7">
        <v>2237606</v>
      </c>
      <c r="F8" s="7">
        <v>149095</v>
      </c>
      <c r="G8" s="7">
        <v>3430</v>
      </c>
      <c r="H8" s="7">
        <v>152525</v>
      </c>
      <c r="I8" s="7">
        <v>2390131</v>
      </c>
    </row>
    <row r="9" spans="1:9" ht="18" x14ac:dyDescent="0.2">
      <c r="A9">
        <v>2019</v>
      </c>
      <c r="B9" s="7" t="s">
        <v>12</v>
      </c>
      <c r="C9" s="7">
        <v>993825</v>
      </c>
      <c r="D9" s="7">
        <v>4793</v>
      </c>
      <c r="E9" s="7">
        <v>998618</v>
      </c>
      <c r="F9" s="7">
        <v>9285</v>
      </c>
      <c r="G9" s="7">
        <v>845</v>
      </c>
      <c r="H9" s="7">
        <v>10130</v>
      </c>
      <c r="I9" s="7">
        <v>1008748</v>
      </c>
    </row>
    <row r="10" spans="1:9" ht="18" x14ac:dyDescent="0.2">
      <c r="A10">
        <v>2019</v>
      </c>
      <c r="B10" s="7" t="s">
        <v>13</v>
      </c>
      <c r="C10" s="7">
        <v>1116218</v>
      </c>
      <c r="D10" s="7">
        <v>3151</v>
      </c>
      <c r="E10" s="7">
        <v>1119369</v>
      </c>
      <c r="F10" s="7">
        <v>3958</v>
      </c>
      <c r="G10" s="7">
        <v>604</v>
      </c>
      <c r="H10" s="7">
        <v>4562</v>
      </c>
      <c r="I10" s="7">
        <v>1123931</v>
      </c>
    </row>
    <row r="11" spans="1:9" ht="18" x14ac:dyDescent="0.2">
      <c r="A11">
        <v>2019</v>
      </c>
      <c r="B11" s="7" t="s">
        <v>14</v>
      </c>
      <c r="C11" s="7">
        <v>1263886</v>
      </c>
      <c r="D11" s="7">
        <v>4460</v>
      </c>
      <c r="E11" s="7">
        <v>1268346</v>
      </c>
      <c r="F11" s="7">
        <v>8503</v>
      </c>
      <c r="G11" s="7">
        <v>824</v>
      </c>
      <c r="H11" s="7">
        <v>9327</v>
      </c>
      <c r="I11" s="7">
        <v>1277673</v>
      </c>
    </row>
    <row r="12" spans="1:9" ht="18" x14ac:dyDescent="0.2">
      <c r="A12">
        <v>2019</v>
      </c>
      <c r="B12" s="7" t="s">
        <v>15</v>
      </c>
      <c r="C12" s="7">
        <v>986534</v>
      </c>
      <c r="D12" s="7">
        <v>1586</v>
      </c>
      <c r="E12" s="7">
        <v>988120</v>
      </c>
      <c r="F12" s="7">
        <v>10946</v>
      </c>
      <c r="G12" s="7">
        <v>1140</v>
      </c>
      <c r="H12" s="7">
        <v>12086</v>
      </c>
      <c r="I12" s="7">
        <v>1000206</v>
      </c>
    </row>
    <row r="13" spans="1:9" ht="18" x14ac:dyDescent="0.2">
      <c r="A13">
        <v>2019</v>
      </c>
      <c r="B13" s="7" t="s">
        <v>16</v>
      </c>
      <c r="C13" s="7">
        <v>984999</v>
      </c>
      <c r="D13" s="7">
        <v>499</v>
      </c>
      <c r="E13" s="7">
        <v>985498</v>
      </c>
      <c r="F13" s="7">
        <v>5780</v>
      </c>
      <c r="G13" s="7">
        <v>1174</v>
      </c>
      <c r="H13" s="7">
        <v>6954</v>
      </c>
      <c r="I13" s="7">
        <v>992452</v>
      </c>
    </row>
    <row r="14" spans="1:9" ht="19" x14ac:dyDescent="0.25">
      <c r="B14" s="7" t="s">
        <v>17</v>
      </c>
      <c r="C14" s="6">
        <f>SUM(C2:C13)</f>
        <v>15631577</v>
      </c>
      <c r="D14" s="6">
        <f t="shared" ref="D14:I14" si="0">SUM(D2:D13)</f>
        <v>24141</v>
      </c>
      <c r="E14" s="6">
        <f t="shared" si="0"/>
        <v>15655718</v>
      </c>
      <c r="F14" s="6">
        <f t="shared" si="0"/>
        <v>531753</v>
      </c>
      <c r="G14" s="6">
        <f t="shared" si="0"/>
        <v>33779</v>
      </c>
      <c r="H14" s="6">
        <f t="shared" si="0"/>
        <v>565532</v>
      </c>
      <c r="I14" s="6">
        <f t="shared" si="0"/>
        <v>16221250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4FCA-6F01-1143-BE3F-2D10DEDFC148}">
  <dimension ref="A1:I14"/>
  <sheetViews>
    <sheetView workbookViewId="0">
      <selection sqref="A1:I1"/>
    </sheetView>
  </sheetViews>
  <sheetFormatPr baseColWidth="10" defaultRowHeight="15" x14ac:dyDescent="0.2"/>
  <cols>
    <col min="2" max="2" width="13.33203125" bestFit="1" customWidth="1"/>
    <col min="3" max="3" width="14.6640625" bestFit="1" customWidth="1"/>
    <col min="4" max="4" width="13" bestFit="1" customWidth="1"/>
    <col min="5" max="5" width="11.1640625" bestFit="1" customWidth="1"/>
    <col min="6" max="6" width="15.33203125" bestFit="1" customWidth="1"/>
    <col min="7" max="7" width="13.664062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2020</v>
      </c>
      <c r="B2" s="7" t="s">
        <v>5</v>
      </c>
      <c r="C2" s="7">
        <v>927959</v>
      </c>
      <c r="D2" s="7">
        <v>544</v>
      </c>
      <c r="E2" s="7">
        <v>928503</v>
      </c>
      <c r="F2" s="7">
        <v>3792</v>
      </c>
      <c r="G2" s="7">
        <v>1071</v>
      </c>
      <c r="H2" s="7">
        <v>4863</v>
      </c>
      <c r="I2" s="7">
        <v>933366</v>
      </c>
    </row>
    <row r="3" spans="1:9" ht="18" x14ac:dyDescent="0.2">
      <c r="A3">
        <v>2020</v>
      </c>
      <c r="B3" s="7" t="s">
        <v>6</v>
      </c>
      <c r="C3" s="7">
        <v>1023555</v>
      </c>
      <c r="D3" s="7">
        <v>838</v>
      </c>
      <c r="E3" s="7">
        <v>1024393</v>
      </c>
      <c r="F3" s="7">
        <v>6453</v>
      </c>
      <c r="G3" s="7">
        <v>1729</v>
      </c>
      <c r="H3" s="7">
        <v>8182</v>
      </c>
      <c r="I3" s="7">
        <v>1032575</v>
      </c>
    </row>
    <row r="4" spans="1:9" ht="18" x14ac:dyDescent="0.2">
      <c r="A4">
        <v>2020</v>
      </c>
      <c r="B4" s="7" t="s">
        <v>7</v>
      </c>
      <c r="C4" s="7">
        <v>530640</v>
      </c>
      <c r="D4" s="7">
        <v>38</v>
      </c>
      <c r="E4" s="7">
        <v>530678</v>
      </c>
      <c r="F4" s="7">
        <v>3807</v>
      </c>
      <c r="G4" s="7">
        <v>836</v>
      </c>
      <c r="H4" s="7">
        <v>4643</v>
      </c>
      <c r="I4" s="7">
        <v>535321</v>
      </c>
    </row>
    <row r="5" spans="1:9" ht="18" x14ac:dyDescent="0.2">
      <c r="A5">
        <v>2020</v>
      </c>
      <c r="B5" s="7" t="s">
        <v>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</row>
    <row r="6" spans="1:9" ht="18" x14ac:dyDescent="0.2">
      <c r="A6">
        <v>2020</v>
      </c>
      <c r="B6" s="7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</row>
    <row r="7" spans="1:9" ht="18" x14ac:dyDescent="0.2">
      <c r="A7">
        <v>2020</v>
      </c>
      <c r="B7" s="7" t="s">
        <v>10</v>
      </c>
      <c r="C7" s="7">
        <v>1935</v>
      </c>
      <c r="D7" s="7">
        <v>0</v>
      </c>
      <c r="E7" s="7">
        <v>1935</v>
      </c>
      <c r="F7" s="7">
        <v>0</v>
      </c>
      <c r="G7" s="7">
        <v>0</v>
      </c>
      <c r="H7" s="7">
        <v>0</v>
      </c>
      <c r="I7" s="7">
        <v>1935</v>
      </c>
    </row>
    <row r="8" spans="1:9" ht="18" x14ac:dyDescent="0.2">
      <c r="A8">
        <v>2020</v>
      </c>
      <c r="B8" s="7" t="s">
        <v>11</v>
      </c>
      <c r="C8" s="7">
        <v>3852</v>
      </c>
      <c r="D8" s="7">
        <v>0</v>
      </c>
      <c r="E8" s="7">
        <v>3852</v>
      </c>
      <c r="F8" s="7">
        <v>175</v>
      </c>
      <c r="G8" s="7">
        <v>11</v>
      </c>
      <c r="H8" s="7">
        <v>186</v>
      </c>
      <c r="I8" s="7">
        <v>4038</v>
      </c>
    </row>
    <row r="9" spans="1:9" ht="18" x14ac:dyDescent="0.2">
      <c r="A9">
        <v>2020</v>
      </c>
      <c r="B9" s="7" t="s">
        <v>12</v>
      </c>
      <c r="C9" s="7">
        <v>19229</v>
      </c>
      <c r="D9" s="7">
        <v>0</v>
      </c>
      <c r="E9" s="7">
        <v>19229</v>
      </c>
      <c r="F9" s="7">
        <v>251</v>
      </c>
      <c r="G9" s="7">
        <v>33</v>
      </c>
      <c r="H9" s="7">
        <v>284</v>
      </c>
      <c r="I9" s="7">
        <v>19513</v>
      </c>
    </row>
    <row r="10" spans="1:9" ht="18" x14ac:dyDescent="0.2">
      <c r="A10">
        <v>2020</v>
      </c>
      <c r="B10" s="7" t="s">
        <v>13</v>
      </c>
      <c r="C10" s="7">
        <v>54439</v>
      </c>
      <c r="D10" s="7">
        <v>0</v>
      </c>
      <c r="E10" s="7">
        <v>54439</v>
      </c>
      <c r="F10" s="7">
        <v>812</v>
      </c>
      <c r="G10" s="7">
        <v>36</v>
      </c>
      <c r="H10" s="7">
        <v>848</v>
      </c>
      <c r="I10" s="7">
        <v>55287</v>
      </c>
    </row>
    <row r="11" spans="1:9" ht="18" x14ac:dyDescent="0.2">
      <c r="A11">
        <v>2020</v>
      </c>
      <c r="B11" s="7" t="s">
        <v>14</v>
      </c>
      <c r="C11" s="7">
        <v>188702</v>
      </c>
      <c r="D11" s="7">
        <v>0</v>
      </c>
      <c r="E11" s="7">
        <v>188702</v>
      </c>
      <c r="F11" s="7">
        <v>2659</v>
      </c>
      <c r="G11" s="7">
        <v>38</v>
      </c>
      <c r="H11" s="7">
        <v>2697</v>
      </c>
      <c r="I11" s="7">
        <v>191399</v>
      </c>
    </row>
    <row r="12" spans="1:9" ht="18" x14ac:dyDescent="0.2">
      <c r="A12">
        <v>2020</v>
      </c>
      <c r="B12" s="7" t="s">
        <v>15</v>
      </c>
      <c r="C12" s="7">
        <v>216909</v>
      </c>
      <c r="D12" s="7">
        <v>0</v>
      </c>
      <c r="E12" s="7">
        <v>216909</v>
      </c>
      <c r="F12" s="7">
        <v>6271</v>
      </c>
      <c r="G12" s="7">
        <v>56</v>
      </c>
      <c r="H12" s="7">
        <v>6327</v>
      </c>
      <c r="I12" s="7">
        <v>223236</v>
      </c>
    </row>
    <row r="13" spans="1:9" ht="18" x14ac:dyDescent="0.2">
      <c r="A13">
        <v>2020</v>
      </c>
      <c r="B13" s="7" t="s">
        <v>16</v>
      </c>
      <c r="C13" s="7">
        <v>466246</v>
      </c>
      <c r="D13" s="7">
        <v>0</v>
      </c>
      <c r="E13" s="7">
        <v>466246</v>
      </c>
      <c r="F13" s="7">
        <v>13148</v>
      </c>
      <c r="G13" s="7">
        <v>89</v>
      </c>
      <c r="H13" s="7">
        <v>13237</v>
      </c>
      <c r="I13" s="7">
        <v>479483</v>
      </c>
    </row>
    <row r="14" spans="1:9" ht="18" x14ac:dyDescent="0.2">
      <c r="B14" s="8" t="s">
        <v>17</v>
      </c>
      <c r="C14" s="8">
        <f>SUM(C2:C13)</f>
        <v>3433466</v>
      </c>
      <c r="D14" s="8">
        <f t="shared" ref="D14:I14" si="0">SUM(D2:D13)</f>
        <v>1420</v>
      </c>
      <c r="E14" s="8">
        <f t="shared" si="0"/>
        <v>3434886</v>
      </c>
      <c r="F14" s="8">
        <f t="shared" si="0"/>
        <v>37368</v>
      </c>
      <c r="G14" s="8">
        <f t="shared" si="0"/>
        <v>3899</v>
      </c>
      <c r="H14" s="8">
        <f t="shared" si="0"/>
        <v>41267</v>
      </c>
      <c r="I14" s="8">
        <f t="shared" si="0"/>
        <v>3476153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CC08-86D1-9549-8D6F-A1D9A1F98D23}">
  <dimension ref="A1:I14"/>
  <sheetViews>
    <sheetView workbookViewId="0">
      <selection sqref="A1:I1"/>
    </sheetView>
  </sheetViews>
  <sheetFormatPr baseColWidth="10" defaultRowHeight="15" x14ac:dyDescent="0.2"/>
  <cols>
    <col min="2" max="2" width="13.33203125" bestFit="1" customWidth="1"/>
    <col min="3" max="3" width="14.6640625" bestFit="1" customWidth="1"/>
    <col min="4" max="5" width="13.83203125" bestFit="1" customWidth="1"/>
    <col min="6" max="6" width="15.33203125" bestFit="1" customWidth="1"/>
    <col min="7" max="7" width="13.664062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2021</v>
      </c>
      <c r="B2" s="7" t="s">
        <v>5</v>
      </c>
      <c r="C2" s="7">
        <v>729175</v>
      </c>
      <c r="D2" s="7">
        <v>0</v>
      </c>
      <c r="E2" s="7">
        <v>729175</v>
      </c>
      <c r="F2" s="7">
        <v>19042</v>
      </c>
      <c r="G2" s="7">
        <v>60</v>
      </c>
      <c r="H2" s="7">
        <v>19102</v>
      </c>
      <c r="I2" s="7">
        <v>748277</v>
      </c>
    </row>
    <row r="3" spans="1:9" ht="18" x14ac:dyDescent="0.2">
      <c r="A3">
        <v>2021</v>
      </c>
      <c r="B3" s="7" t="s">
        <v>6</v>
      </c>
      <c r="C3" s="7">
        <v>746976</v>
      </c>
      <c r="D3" s="7">
        <v>27</v>
      </c>
      <c r="E3" s="7">
        <v>747003</v>
      </c>
      <c r="F3" s="7">
        <v>26028</v>
      </c>
      <c r="G3" s="7">
        <v>154</v>
      </c>
      <c r="H3" s="7">
        <v>26182</v>
      </c>
      <c r="I3" s="7">
        <v>773135</v>
      </c>
    </row>
    <row r="4" spans="1:9" ht="18" x14ac:dyDescent="0.2">
      <c r="A4">
        <v>2021</v>
      </c>
      <c r="B4" s="7" t="s">
        <v>7</v>
      </c>
      <c r="C4" s="7">
        <v>1148795</v>
      </c>
      <c r="D4" s="7">
        <v>0</v>
      </c>
      <c r="E4" s="7">
        <v>1148795</v>
      </c>
      <c r="F4" s="7">
        <v>48026</v>
      </c>
      <c r="G4" s="7">
        <v>136</v>
      </c>
      <c r="H4" s="7">
        <v>48162</v>
      </c>
      <c r="I4" s="7">
        <v>1196957</v>
      </c>
    </row>
    <row r="5" spans="1:9" ht="18" x14ac:dyDescent="0.2">
      <c r="A5">
        <v>2021</v>
      </c>
      <c r="B5" s="7" t="s">
        <v>8</v>
      </c>
      <c r="C5" s="7">
        <v>588110</v>
      </c>
      <c r="D5" s="7">
        <v>3</v>
      </c>
      <c r="E5" s="7">
        <v>588113</v>
      </c>
      <c r="F5" s="7">
        <v>32520</v>
      </c>
      <c r="G5" s="7">
        <v>74</v>
      </c>
      <c r="H5" s="7">
        <v>32594</v>
      </c>
      <c r="I5" s="7">
        <v>620707</v>
      </c>
    </row>
    <row r="6" spans="1:9" ht="18" x14ac:dyDescent="0.2">
      <c r="A6">
        <v>2021</v>
      </c>
      <c r="B6" s="7" t="s">
        <v>9</v>
      </c>
      <c r="C6" s="7">
        <v>52673</v>
      </c>
      <c r="D6" s="7">
        <v>0</v>
      </c>
      <c r="E6" s="7">
        <v>52673</v>
      </c>
      <c r="F6" s="7">
        <v>1109</v>
      </c>
      <c r="G6" s="7">
        <v>19</v>
      </c>
      <c r="H6" s="7">
        <v>1128</v>
      </c>
      <c r="I6" s="7">
        <v>53801</v>
      </c>
    </row>
    <row r="7" spans="1:9" ht="18" x14ac:dyDescent="0.2">
      <c r="A7">
        <v>2021</v>
      </c>
      <c r="B7" s="7" t="s">
        <v>10</v>
      </c>
      <c r="C7" s="7">
        <v>359407</v>
      </c>
      <c r="D7" s="7">
        <v>0</v>
      </c>
      <c r="E7" s="7">
        <v>359407</v>
      </c>
      <c r="F7" s="7">
        <v>15176</v>
      </c>
      <c r="G7" s="7">
        <v>78</v>
      </c>
      <c r="H7" s="7">
        <v>15254</v>
      </c>
      <c r="I7" s="7">
        <v>374661</v>
      </c>
    </row>
    <row r="8" spans="1:9" ht="18" x14ac:dyDescent="0.2">
      <c r="A8">
        <v>2021</v>
      </c>
      <c r="B8" s="7" t="s">
        <v>11</v>
      </c>
      <c r="C8" s="7">
        <v>1003087</v>
      </c>
      <c r="D8" s="7">
        <v>0</v>
      </c>
      <c r="E8" s="7">
        <v>1003087</v>
      </c>
      <c r="F8" s="7">
        <v>48708</v>
      </c>
      <c r="G8" s="7">
        <v>150</v>
      </c>
      <c r="H8" s="7">
        <v>48858</v>
      </c>
      <c r="I8" s="7">
        <v>1051945</v>
      </c>
    </row>
    <row r="9" spans="1:9" ht="18" x14ac:dyDescent="0.2">
      <c r="A9">
        <v>2021</v>
      </c>
      <c r="B9" s="7" t="s">
        <v>12</v>
      </c>
      <c r="C9" s="7">
        <v>1099776</v>
      </c>
      <c r="D9" s="7">
        <v>0</v>
      </c>
      <c r="E9" s="7">
        <v>1099776</v>
      </c>
      <c r="F9" s="7">
        <v>49594</v>
      </c>
      <c r="G9" s="7">
        <v>125</v>
      </c>
      <c r="H9" s="7">
        <v>49719</v>
      </c>
      <c r="I9" s="7">
        <v>1149495</v>
      </c>
    </row>
    <row r="10" spans="1:9" ht="18" x14ac:dyDescent="0.2">
      <c r="A10">
        <v>2021</v>
      </c>
      <c r="B10" s="7" t="s">
        <v>13</v>
      </c>
      <c r="C10" s="7">
        <v>1221225</v>
      </c>
      <c r="D10" s="7">
        <v>0</v>
      </c>
      <c r="E10" s="7">
        <v>1221225</v>
      </c>
      <c r="F10" s="7">
        <v>61177</v>
      </c>
      <c r="G10" s="7">
        <v>170</v>
      </c>
      <c r="H10" s="7">
        <v>61347</v>
      </c>
      <c r="I10" s="7">
        <v>1282572</v>
      </c>
    </row>
    <row r="11" spans="1:9" ht="18" x14ac:dyDescent="0.2">
      <c r="A11">
        <v>2021</v>
      </c>
      <c r="B11" s="7" t="s">
        <v>14</v>
      </c>
      <c r="C11" s="7">
        <v>1363905</v>
      </c>
      <c r="D11" s="7">
        <v>6</v>
      </c>
      <c r="E11" s="7">
        <v>1363911</v>
      </c>
      <c r="F11" s="7">
        <v>92573</v>
      </c>
      <c r="G11" s="7">
        <v>196</v>
      </c>
      <c r="H11" s="7">
        <v>92769</v>
      </c>
      <c r="I11" s="7">
        <v>1456680</v>
      </c>
    </row>
    <row r="12" spans="1:9" ht="18" x14ac:dyDescent="0.2">
      <c r="A12">
        <v>2021</v>
      </c>
      <c r="B12" s="7" t="s">
        <v>15</v>
      </c>
      <c r="C12" s="7">
        <v>1176517</v>
      </c>
      <c r="D12" s="7">
        <v>0</v>
      </c>
      <c r="E12" s="7">
        <v>1176517</v>
      </c>
      <c r="F12" s="7">
        <v>127450</v>
      </c>
      <c r="G12" s="7">
        <v>155</v>
      </c>
      <c r="H12" s="7">
        <v>127605</v>
      </c>
      <c r="I12" s="7">
        <v>1304122</v>
      </c>
    </row>
    <row r="13" spans="1:9" ht="18" x14ac:dyDescent="0.2">
      <c r="A13">
        <v>2021</v>
      </c>
      <c r="B13" s="7" t="s">
        <v>16</v>
      </c>
      <c r="C13" s="7">
        <v>1161075</v>
      </c>
      <c r="D13" s="7">
        <v>0</v>
      </c>
      <c r="E13" s="7">
        <v>1161075</v>
      </c>
      <c r="F13" s="7">
        <v>142760</v>
      </c>
      <c r="G13" s="7">
        <v>297</v>
      </c>
      <c r="H13" s="7">
        <v>143057</v>
      </c>
      <c r="I13" s="7">
        <v>1304132</v>
      </c>
    </row>
    <row r="14" spans="1:9" ht="18" x14ac:dyDescent="0.2">
      <c r="B14" s="8" t="s">
        <v>17</v>
      </c>
      <c r="C14" s="9">
        <v>10650721</v>
      </c>
      <c r="D14" s="8">
        <v>36</v>
      </c>
      <c r="E14" s="9">
        <v>10650757</v>
      </c>
      <c r="F14" s="9">
        <v>664163</v>
      </c>
      <c r="G14" s="8">
        <v>1614</v>
      </c>
      <c r="H14" s="9">
        <v>665777</v>
      </c>
      <c r="I14" s="9">
        <v>11316484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95BE-3015-D843-8143-ADD3199DC8C0}">
  <dimension ref="A1:I14"/>
  <sheetViews>
    <sheetView workbookViewId="0">
      <selection sqref="A1:I1"/>
    </sheetView>
  </sheetViews>
  <sheetFormatPr baseColWidth="10" defaultRowHeight="15" x14ac:dyDescent="0.2"/>
  <cols>
    <col min="3" max="3" width="14.6640625" bestFit="1" customWidth="1"/>
    <col min="4" max="4" width="13" bestFit="1" customWidth="1"/>
    <col min="5" max="5" width="13.83203125" bestFit="1" customWidth="1"/>
    <col min="6" max="6" width="15.33203125" bestFit="1" customWidth="1"/>
    <col min="7" max="7" width="13.664062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2022</v>
      </c>
      <c r="B2" s="10" t="s">
        <v>5</v>
      </c>
      <c r="C2" s="11">
        <v>889038</v>
      </c>
      <c r="D2" s="11">
        <v>0</v>
      </c>
      <c r="E2" s="11">
        <v>889038</v>
      </c>
      <c r="F2" s="11">
        <v>61214</v>
      </c>
      <c r="G2" s="11">
        <v>254</v>
      </c>
      <c r="H2" s="11">
        <v>61468</v>
      </c>
      <c r="I2" s="10">
        <v>950506</v>
      </c>
    </row>
    <row r="3" spans="1:9" ht="18" x14ac:dyDescent="0.2">
      <c r="A3">
        <v>2022</v>
      </c>
      <c r="B3" s="10" t="s">
        <v>6</v>
      </c>
      <c r="C3" s="11">
        <v>876935</v>
      </c>
      <c r="D3" s="11">
        <v>0</v>
      </c>
      <c r="E3" s="11">
        <v>876935</v>
      </c>
      <c r="F3" s="11">
        <v>100279</v>
      </c>
      <c r="G3" s="11">
        <v>230</v>
      </c>
      <c r="H3" s="11">
        <v>100509</v>
      </c>
      <c r="I3" s="10">
        <v>977444</v>
      </c>
    </row>
    <row r="4" spans="1:9" ht="18" x14ac:dyDescent="0.2">
      <c r="A4">
        <v>2022</v>
      </c>
      <c r="B4" s="10" t="s">
        <v>7</v>
      </c>
      <c r="C4" s="11">
        <v>1624069</v>
      </c>
      <c r="D4" s="11">
        <v>2</v>
      </c>
      <c r="E4" s="11">
        <v>1624071</v>
      </c>
      <c r="F4" s="11">
        <v>179651</v>
      </c>
      <c r="G4" s="11">
        <v>520</v>
      </c>
      <c r="H4" s="11">
        <v>180171</v>
      </c>
      <c r="I4" s="10">
        <v>1804242</v>
      </c>
    </row>
    <row r="5" spans="1:9" ht="18" x14ac:dyDescent="0.2">
      <c r="A5">
        <v>2022</v>
      </c>
      <c r="B5" s="10" t="s">
        <v>8</v>
      </c>
      <c r="C5" s="11">
        <v>1450961</v>
      </c>
      <c r="D5" s="11">
        <v>3</v>
      </c>
      <c r="E5" s="11">
        <v>1450964</v>
      </c>
      <c r="F5" s="11">
        <v>271582</v>
      </c>
      <c r="G5" s="11">
        <v>795</v>
      </c>
      <c r="H5" s="11">
        <v>272377</v>
      </c>
      <c r="I5" s="10">
        <v>1723341</v>
      </c>
    </row>
    <row r="6" spans="1:9" ht="18" x14ac:dyDescent="0.2">
      <c r="A6">
        <v>2022</v>
      </c>
      <c r="B6" s="10" t="s">
        <v>9</v>
      </c>
      <c r="C6" s="11">
        <v>1675374</v>
      </c>
      <c r="D6" s="11">
        <v>5</v>
      </c>
      <c r="E6" s="11">
        <v>1675379</v>
      </c>
      <c r="F6" s="11">
        <v>373494</v>
      </c>
      <c r="G6" s="11" t="s">
        <v>25</v>
      </c>
      <c r="H6" s="11">
        <v>375021</v>
      </c>
      <c r="I6" s="10">
        <v>2050400</v>
      </c>
    </row>
    <row r="7" spans="1:9" ht="18" x14ac:dyDescent="0.2">
      <c r="A7">
        <v>2022</v>
      </c>
      <c r="B7" s="10" t="s">
        <v>10</v>
      </c>
      <c r="C7" s="11">
        <v>2062018</v>
      </c>
      <c r="D7" s="11">
        <v>0</v>
      </c>
      <c r="E7" s="11">
        <v>2062018</v>
      </c>
      <c r="F7" s="11">
        <v>332520</v>
      </c>
      <c r="G7" s="11" t="s">
        <v>26</v>
      </c>
      <c r="H7" s="11">
        <v>333589</v>
      </c>
      <c r="I7" s="10">
        <v>2395607</v>
      </c>
    </row>
    <row r="8" spans="1:9" ht="18" x14ac:dyDescent="0.2">
      <c r="A8">
        <v>2022</v>
      </c>
      <c r="B8" s="10" t="s">
        <v>11</v>
      </c>
      <c r="C8" s="11">
        <v>1507030</v>
      </c>
      <c r="D8" s="11">
        <v>2</v>
      </c>
      <c r="E8" s="11">
        <v>1507032</v>
      </c>
      <c r="F8" s="11">
        <v>387022</v>
      </c>
      <c r="G8" s="11" t="s">
        <v>27</v>
      </c>
      <c r="H8" s="11">
        <v>389876</v>
      </c>
      <c r="I8" s="10">
        <v>1896908</v>
      </c>
    </row>
    <row r="9" spans="1:9" ht="18" x14ac:dyDescent="0.2">
      <c r="A9">
        <v>2022</v>
      </c>
      <c r="B9" s="10" t="s">
        <v>12</v>
      </c>
      <c r="C9" s="11">
        <v>1452423</v>
      </c>
      <c r="D9" s="11">
        <v>10</v>
      </c>
      <c r="E9" s="11">
        <v>1452433</v>
      </c>
      <c r="F9" s="11">
        <v>334279</v>
      </c>
      <c r="G9" s="11" t="s">
        <v>28</v>
      </c>
      <c r="H9" s="11">
        <v>337419</v>
      </c>
      <c r="I9" s="10">
        <v>1789852</v>
      </c>
    </row>
    <row r="10" spans="1:9" ht="18" x14ac:dyDescent="0.2">
      <c r="A10">
        <v>2022</v>
      </c>
      <c r="B10" s="10" t="s">
        <v>13</v>
      </c>
      <c r="C10" s="11">
        <v>1278833</v>
      </c>
      <c r="D10" s="11">
        <v>13</v>
      </c>
      <c r="E10" s="11">
        <v>1278846</v>
      </c>
      <c r="F10" s="11" t="s">
        <v>29</v>
      </c>
      <c r="G10" s="11" t="s">
        <v>30</v>
      </c>
      <c r="H10" s="11">
        <v>124562</v>
      </c>
      <c r="I10" s="10">
        <v>1403408</v>
      </c>
    </row>
    <row r="11" spans="1:9" ht="18" x14ac:dyDescent="0.2">
      <c r="A11">
        <v>2022</v>
      </c>
      <c r="B11" s="10" t="s">
        <v>14</v>
      </c>
      <c r="C11" s="11">
        <v>1133597</v>
      </c>
      <c r="D11" s="11" t="s">
        <v>31</v>
      </c>
      <c r="E11" s="11">
        <v>1133598</v>
      </c>
      <c r="F11" s="11">
        <v>180522</v>
      </c>
      <c r="G11" s="11">
        <v>2686</v>
      </c>
      <c r="H11" s="11">
        <v>183208</v>
      </c>
      <c r="I11" s="10">
        <v>1316806</v>
      </c>
    </row>
    <row r="12" spans="1:9" ht="18" x14ac:dyDescent="0.2">
      <c r="A12">
        <v>2022</v>
      </c>
      <c r="B12" s="10" t="s">
        <v>15</v>
      </c>
      <c r="C12" s="11">
        <v>978065</v>
      </c>
      <c r="D12" s="11" t="s">
        <v>32</v>
      </c>
      <c r="E12" s="11">
        <v>978067</v>
      </c>
      <c r="F12" s="11">
        <v>157136</v>
      </c>
      <c r="G12" s="11">
        <v>1642</v>
      </c>
      <c r="H12" s="11">
        <v>158778</v>
      </c>
      <c r="I12" s="10">
        <v>1136845</v>
      </c>
    </row>
    <row r="13" spans="1:9" ht="18" x14ac:dyDescent="0.2">
      <c r="A13">
        <v>2022</v>
      </c>
      <c r="B13" s="10" t="s">
        <v>16</v>
      </c>
      <c r="C13" s="11">
        <v>1282494</v>
      </c>
      <c r="D13" s="11" t="s">
        <v>33</v>
      </c>
      <c r="E13" s="11">
        <v>1282494</v>
      </c>
      <c r="F13" s="11">
        <v>154083</v>
      </c>
      <c r="G13" s="11">
        <v>2381</v>
      </c>
      <c r="H13" s="11">
        <v>156464</v>
      </c>
      <c r="I13" s="10">
        <v>1438958</v>
      </c>
    </row>
    <row r="14" spans="1:9" ht="18" x14ac:dyDescent="0.2">
      <c r="B14" s="10" t="s">
        <v>17</v>
      </c>
      <c r="C14" s="12">
        <v>16210837</v>
      </c>
      <c r="D14" s="10">
        <v>38</v>
      </c>
      <c r="E14" s="12">
        <v>16210875</v>
      </c>
      <c r="F14" s="12">
        <v>2653495</v>
      </c>
      <c r="G14" s="12">
        <v>19947</v>
      </c>
      <c r="H14" s="12">
        <v>2673442</v>
      </c>
      <c r="I14" s="12">
        <v>18884317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0AF2-5839-EF4D-8593-4C6EC4002FD5}">
  <dimension ref="A1:I15"/>
  <sheetViews>
    <sheetView workbookViewId="0">
      <selection activeCell="B19" sqref="B19"/>
    </sheetView>
  </sheetViews>
  <sheetFormatPr baseColWidth="10" defaultRowHeight="15" x14ac:dyDescent="0.2"/>
  <cols>
    <col min="2" max="2" width="88.6640625" bestFit="1" customWidth="1"/>
    <col min="3" max="3" width="14.6640625" bestFit="1" customWidth="1"/>
    <col min="4" max="4" width="13" bestFit="1" customWidth="1"/>
    <col min="5" max="5" width="13.83203125" bestFit="1" customWidth="1"/>
    <col min="6" max="6" width="15.33203125" bestFit="1" customWidth="1"/>
    <col min="7" max="7" width="13.6640625" bestFit="1" customWidth="1"/>
    <col min="8" max="8" width="11.83203125" bestFit="1" customWidth="1"/>
    <col min="9" max="9" width="16.6640625" bestFit="1" customWidth="1"/>
  </cols>
  <sheetData>
    <row r="1" spans="1:9" x14ac:dyDescent="0.2">
      <c r="A1" s="5" t="s">
        <v>0</v>
      </c>
      <c r="B1" s="5" t="s">
        <v>1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</row>
    <row r="2" spans="1:9" ht="18" x14ac:dyDescent="0.2">
      <c r="A2">
        <v>2023</v>
      </c>
      <c r="B2" s="10" t="s">
        <v>5</v>
      </c>
      <c r="C2" s="11">
        <v>932890</v>
      </c>
      <c r="D2" s="11">
        <v>3</v>
      </c>
      <c r="E2" s="11">
        <v>932893</v>
      </c>
      <c r="F2" s="11">
        <v>126005</v>
      </c>
      <c r="G2" s="11">
        <v>1476</v>
      </c>
      <c r="H2" s="11">
        <v>127481</v>
      </c>
      <c r="I2" s="10">
        <v>1060374</v>
      </c>
    </row>
    <row r="3" spans="1:9" ht="18" x14ac:dyDescent="0.2">
      <c r="A3">
        <v>2023</v>
      </c>
      <c r="B3" s="10" t="s">
        <v>6</v>
      </c>
      <c r="C3" s="11">
        <v>1037953</v>
      </c>
      <c r="D3" s="11">
        <v>10</v>
      </c>
      <c r="E3" s="11">
        <v>1037963</v>
      </c>
      <c r="F3" s="11">
        <v>125784</v>
      </c>
      <c r="G3" s="11">
        <v>2853</v>
      </c>
      <c r="H3" s="11">
        <v>128637</v>
      </c>
      <c r="I3" s="10">
        <v>1166600</v>
      </c>
    </row>
    <row r="4" spans="1:9" ht="18" x14ac:dyDescent="0.2">
      <c r="A4">
        <v>2023</v>
      </c>
      <c r="B4" s="10" t="s">
        <v>7</v>
      </c>
      <c r="C4" s="11">
        <v>1647231</v>
      </c>
      <c r="D4" s="11">
        <v>23</v>
      </c>
      <c r="E4" s="11">
        <v>1647254</v>
      </c>
      <c r="F4" s="11">
        <v>163233</v>
      </c>
      <c r="G4" s="11">
        <v>3354</v>
      </c>
      <c r="H4" s="11">
        <v>166587</v>
      </c>
      <c r="I4" s="10">
        <v>1813841</v>
      </c>
    </row>
    <row r="5" spans="1:9" ht="18" x14ac:dyDescent="0.2">
      <c r="A5">
        <v>2023</v>
      </c>
      <c r="B5" s="10" t="s">
        <v>8</v>
      </c>
      <c r="C5" s="11">
        <v>1651399</v>
      </c>
      <c r="D5" s="11">
        <v>7</v>
      </c>
      <c r="E5" s="11">
        <v>1651406</v>
      </c>
      <c r="F5" s="11">
        <v>197132</v>
      </c>
      <c r="G5" s="11">
        <v>4582</v>
      </c>
      <c r="H5" s="11">
        <v>201714</v>
      </c>
      <c r="I5" s="10">
        <v>1853120</v>
      </c>
    </row>
    <row r="6" spans="1:9" ht="18" x14ac:dyDescent="0.2">
      <c r="A6">
        <v>2023</v>
      </c>
      <c r="B6" s="10" t="s">
        <v>9</v>
      </c>
      <c r="C6" s="11">
        <v>1844958</v>
      </c>
      <c r="D6" s="11">
        <v>5</v>
      </c>
      <c r="E6" s="11">
        <v>1844963</v>
      </c>
      <c r="F6" s="11">
        <v>301138</v>
      </c>
      <c r="G6" s="11" t="s">
        <v>34</v>
      </c>
      <c r="H6" s="11">
        <v>302827</v>
      </c>
      <c r="I6" s="10">
        <v>2147790</v>
      </c>
    </row>
    <row r="7" spans="1:9" ht="18" x14ac:dyDescent="0.2">
      <c r="A7">
        <v>2023</v>
      </c>
      <c r="B7" s="10" t="s">
        <v>10</v>
      </c>
      <c r="C7" s="11">
        <v>2522230</v>
      </c>
      <c r="D7" s="11">
        <v>523</v>
      </c>
      <c r="E7" s="11">
        <v>2522753</v>
      </c>
      <c r="F7" s="11">
        <v>434836</v>
      </c>
      <c r="G7" s="11" t="s">
        <v>35</v>
      </c>
      <c r="H7" s="11">
        <v>436734</v>
      </c>
      <c r="I7" s="10">
        <v>2959487</v>
      </c>
    </row>
    <row r="8" spans="1:9" ht="18" x14ac:dyDescent="0.2">
      <c r="A8">
        <v>2023</v>
      </c>
      <c r="B8" s="10" t="s">
        <v>11</v>
      </c>
      <c r="C8" s="11">
        <v>2009569</v>
      </c>
      <c r="D8" s="11">
        <v>2212</v>
      </c>
      <c r="E8" s="11">
        <v>2011781</v>
      </c>
      <c r="F8" s="11">
        <v>335388</v>
      </c>
      <c r="G8" s="11" t="s">
        <v>36</v>
      </c>
      <c r="H8" s="11">
        <v>339318</v>
      </c>
      <c r="I8" s="10">
        <v>2351099</v>
      </c>
    </row>
    <row r="9" spans="1:9" ht="18" x14ac:dyDescent="0.2">
      <c r="A9">
        <v>2023</v>
      </c>
      <c r="B9" s="10" t="s">
        <v>12</v>
      </c>
      <c r="C9" s="11">
        <v>1365864</v>
      </c>
      <c r="D9" s="11">
        <v>4249</v>
      </c>
      <c r="E9" s="11">
        <v>1370113</v>
      </c>
      <c r="F9" s="11">
        <v>193336</v>
      </c>
      <c r="G9" s="11" t="s">
        <v>37</v>
      </c>
      <c r="H9" s="11">
        <v>194299</v>
      </c>
      <c r="I9" s="10">
        <v>1567412</v>
      </c>
    </row>
    <row r="10" spans="1:9" ht="18" x14ac:dyDescent="0.2">
      <c r="A10">
        <v>2023</v>
      </c>
      <c r="B10" s="10" t="s">
        <v>13</v>
      </c>
      <c r="C10" s="11">
        <v>1292007</v>
      </c>
      <c r="D10" s="11">
        <v>3338</v>
      </c>
      <c r="E10" s="11">
        <v>1295345</v>
      </c>
      <c r="F10" s="11" t="s">
        <v>38</v>
      </c>
      <c r="G10" s="11" t="s">
        <v>39</v>
      </c>
      <c r="H10" s="11">
        <v>200281</v>
      </c>
      <c r="I10" s="10">
        <v>1495626</v>
      </c>
    </row>
    <row r="11" spans="1:9" ht="18" x14ac:dyDescent="0.2">
      <c r="A11">
        <v>2023</v>
      </c>
      <c r="B11" s="10" t="s">
        <v>14</v>
      </c>
      <c r="C11" s="11">
        <v>1451974</v>
      </c>
      <c r="D11" s="11" t="s">
        <v>40</v>
      </c>
      <c r="E11" s="11">
        <v>1457338</v>
      </c>
      <c r="F11" s="11">
        <v>181178</v>
      </c>
      <c r="G11" s="11">
        <v>3129</v>
      </c>
      <c r="H11" s="11">
        <v>184307</v>
      </c>
      <c r="I11" s="10">
        <v>1641645</v>
      </c>
    </row>
    <row r="12" spans="1:9" ht="18" x14ac:dyDescent="0.2">
      <c r="A12">
        <v>2023</v>
      </c>
      <c r="B12" s="10" t="s">
        <v>15</v>
      </c>
      <c r="C12" s="11">
        <v>1046921</v>
      </c>
      <c r="D12" s="11" t="s">
        <v>41</v>
      </c>
      <c r="E12" s="11">
        <v>1048238</v>
      </c>
      <c r="F12" s="11">
        <v>194191</v>
      </c>
      <c r="G12" s="11">
        <v>2811</v>
      </c>
      <c r="H12" s="11">
        <v>197002</v>
      </c>
      <c r="I12" s="10">
        <v>1245240</v>
      </c>
    </row>
    <row r="13" spans="1:9" ht="18" x14ac:dyDescent="0.2">
      <c r="A13">
        <v>2023</v>
      </c>
      <c r="B13" s="10" t="s">
        <v>16</v>
      </c>
      <c r="C13" s="11">
        <v>1203521</v>
      </c>
      <c r="D13" s="11" t="s">
        <v>42</v>
      </c>
      <c r="E13" s="11">
        <v>1204129</v>
      </c>
      <c r="F13" s="11">
        <v>223898</v>
      </c>
      <c r="G13" s="11">
        <v>4412</v>
      </c>
      <c r="H13" s="11">
        <v>228310</v>
      </c>
      <c r="I13" s="10">
        <v>1432439</v>
      </c>
    </row>
    <row r="14" spans="1:9" ht="18" x14ac:dyDescent="0.2">
      <c r="B14" s="10" t="s">
        <v>43</v>
      </c>
      <c r="I14" s="10">
        <v>445338</v>
      </c>
    </row>
    <row r="15" spans="1:9" ht="18" x14ac:dyDescent="0.2">
      <c r="B15" s="10" t="s">
        <v>17</v>
      </c>
      <c r="C15" s="12">
        <f>SUM(C2:C13)</f>
        <v>18006517</v>
      </c>
      <c r="D15" s="12">
        <f t="shared" ref="D15:I15" si="0">SUM(D2:D13)</f>
        <v>10370</v>
      </c>
      <c r="E15" s="12">
        <f t="shared" si="0"/>
        <v>18024176</v>
      </c>
      <c r="F15" s="12">
        <f t="shared" si="0"/>
        <v>2476119</v>
      </c>
      <c r="G15" s="12">
        <f t="shared" si="0"/>
        <v>22617</v>
      </c>
      <c r="H15" s="12">
        <f t="shared" si="0"/>
        <v>2707497</v>
      </c>
      <c r="I15" s="12">
        <f t="shared" si="0"/>
        <v>20734673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C933-8061-7B40-AD8D-44759F783A77}">
  <dimension ref="A1:H14"/>
  <sheetViews>
    <sheetView workbookViewId="0">
      <selection activeCell="I14" sqref="I14"/>
    </sheetView>
  </sheetViews>
  <sheetFormatPr baseColWidth="10" defaultRowHeight="15" x14ac:dyDescent="0.2"/>
  <cols>
    <col min="1" max="1" width="5.5" bestFit="1" customWidth="1"/>
    <col min="2" max="2" width="9.33203125" bestFit="1" customWidth="1"/>
    <col min="3" max="3" width="25" bestFit="1" customWidth="1"/>
    <col min="4" max="4" width="23.1640625" bestFit="1" customWidth="1"/>
    <col min="5" max="5" width="14" bestFit="1" customWidth="1"/>
    <col min="6" max="6" width="15.33203125" bestFit="1" customWidth="1"/>
    <col min="7" max="7" width="13.6640625" bestFit="1" customWidth="1"/>
    <col min="8" max="8" width="15" bestFit="1" customWidth="1"/>
  </cols>
  <sheetData>
    <row r="1" spans="1:8" ht="19" x14ac:dyDescent="0.25">
      <c r="A1" s="2" t="s">
        <v>0</v>
      </c>
      <c r="B1" s="2" t="s">
        <v>1</v>
      </c>
      <c r="C1" s="2" t="s">
        <v>18</v>
      </c>
      <c r="D1" s="2" t="s">
        <v>44</v>
      </c>
      <c r="E1" s="2" t="s">
        <v>20</v>
      </c>
      <c r="F1" s="1" t="s">
        <v>21</v>
      </c>
      <c r="G1" s="1" t="s">
        <v>22</v>
      </c>
      <c r="H1" s="18" t="s">
        <v>23</v>
      </c>
    </row>
    <row r="2" spans="1:8" ht="19" x14ac:dyDescent="0.25">
      <c r="A2">
        <v>2024</v>
      </c>
      <c r="B2" t="s">
        <v>5</v>
      </c>
      <c r="C2">
        <v>1240777</v>
      </c>
      <c r="D2">
        <v>250</v>
      </c>
      <c r="E2">
        <f>SUM(C2:D2)</f>
        <v>1241027</v>
      </c>
      <c r="F2" s="4">
        <v>197231</v>
      </c>
      <c r="G2" s="4">
        <v>2167</v>
      </c>
      <c r="H2">
        <f>SUM(F2:G2)</f>
        <v>199398</v>
      </c>
    </row>
    <row r="3" spans="1:8" ht="19" x14ac:dyDescent="0.25">
      <c r="A3">
        <v>2024</v>
      </c>
      <c r="B3" t="s">
        <v>6</v>
      </c>
      <c r="C3">
        <v>921909</v>
      </c>
      <c r="D3">
        <v>483</v>
      </c>
      <c r="E3">
        <f t="shared" ref="E3:E13" si="0">SUM(C3:D3)</f>
        <v>922392</v>
      </c>
      <c r="F3" s="4">
        <v>197231</v>
      </c>
      <c r="G3" s="4">
        <v>6559</v>
      </c>
      <c r="H3">
        <f t="shared" ref="H3:H14" si="1">SUM(F3:G3)</f>
        <v>203790</v>
      </c>
    </row>
    <row r="4" spans="1:8" ht="19" x14ac:dyDescent="0.25">
      <c r="A4">
        <v>2024</v>
      </c>
      <c r="B4" t="s">
        <v>7</v>
      </c>
      <c r="C4">
        <v>1504312</v>
      </c>
      <c r="D4">
        <v>1085</v>
      </c>
      <c r="E4">
        <f t="shared" si="0"/>
        <v>1505397</v>
      </c>
      <c r="F4" s="4">
        <v>197231</v>
      </c>
      <c r="G4" s="4">
        <v>3919</v>
      </c>
      <c r="H4">
        <f t="shared" si="1"/>
        <v>201150</v>
      </c>
    </row>
    <row r="5" spans="1:8" ht="19" x14ac:dyDescent="0.25">
      <c r="A5">
        <v>2024</v>
      </c>
      <c r="B5" t="s">
        <v>8</v>
      </c>
      <c r="C5">
        <v>1761899</v>
      </c>
      <c r="D5">
        <v>2034</v>
      </c>
      <c r="E5">
        <f t="shared" si="0"/>
        <v>1763933</v>
      </c>
      <c r="F5" s="4">
        <v>197231</v>
      </c>
      <c r="G5" s="4">
        <v>7348</v>
      </c>
      <c r="H5">
        <f t="shared" si="1"/>
        <v>204579</v>
      </c>
    </row>
    <row r="6" spans="1:8" ht="19" x14ac:dyDescent="0.25">
      <c r="A6">
        <v>2024</v>
      </c>
      <c r="B6" t="s">
        <v>9</v>
      </c>
      <c r="C6">
        <v>1774851</v>
      </c>
      <c r="D6">
        <v>1387</v>
      </c>
      <c r="E6">
        <f t="shared" si="0"/>
        <v>1776238</v>
      </c>
      <c r="F6" s="4">
        <v>197231</v>
      </c>
      <c r="G6" s="4">
        <v>2802</v>
      </c>
      <c r="H6">
        <f t="shared" si="1"/>
        <v>200033</v>
      </c>
    </row>
    <row r="7" spans="1:8" ht="19" x14ac:dyDescent="0.25">
      <c r="A7">
        <v>2024</v>
      </c>
      <c r="B7" t="s">
        <v>10</v>
      </c>
      <c r="C7">
        <v>2597599</v>
      </c>
      <c r="D7">
        <v>865</v>
      </c>
      <c r="E7">
        <f t="shared" si="0"/>
        <v>2598464</v>
      </c>
      <c r="F7" s="4">
        <v>197231</v>
      </c>
      <c r="G7" s="4">
        <v>3119</v>
      </c>
      <c r="H7">
        <f t="shared" si="1"/>
        <v>200350</v>
      </c>
    </row>
    <row r="8" spans="1:8" ht="19" x14ac:dyDescent="0.25">
      <c r="A8">
        <v>2024</v>
      </c>
      <c r="B8" t="s">
        <v>11</v>
      </c>
      <c r="C8">
        <v>2212318</v>
      </c>
      <c r="D8">
        <v>2287</v>
      </c>
      <c r="E8">
        <f t="shared" si="0"/>
        <v>2214605</v>
      </c>
      <c r="F8" s="4">
        <v>197231</v>
      </c>
      <c r="G8" s="4">
        <v>2740</v>
      </c>
      <c r="H8">
        <f t="shared" si="1"/>
        <v>199971</v>
      </c>
    </row>
    <row r="9" spans="1:8" ht="19" x14ac:dyDescent="0.25">
      <c r="A9">
        <v>2024</v>
      </c>
      <c r="B9" t="s">
        <v>12</v>
      </c>
      <c r="C9">
        <v>1794989</v>
      </c>
      <c r="D9">
        <v>4219</v>
      </c>
      <c r="E9">
        <f t="shared" si="0"/>
        <v>1799208</v>
      </c>
      <c r="F9" s="4">
        <v>197231</v>
      </c>
      <c r="G9" s="4">
        <v>3154</v>
      </c>
      <c r="H9">
        <f t="shared" si="1"/>
        <v>200385</v>
      </c>
    </row>
    <row r="10" spans="1:8" ht="19" x14ac:dyDescent="0.25">
      <c r="A10">
        <v>2024</v>
      </c>
      <c r="B10" t="s">
        <v>13</v>
      </c>
      <c r="C10">
        <v>1511916</v>
      </c>
      <c r="D10">
        <v>2572</v>
      </c>
      <c r="E10">
        <f t="shared" si="0"/>
        <v>1514488</v>
      </c>
      <c r="F10" s="4">
        <v>197231</v>
      </c>
      <c r="G10" s="4">
        <v>3446</v>
      </c>
      <c r="H10">
        <f t="shared" si="1"/>
        <v>200677</v>
      </c>
    </row>
    <row r="11" spans="1:8" ht="19" x14ac:dyDescent="0.25">
      <c r="A11">
        <v>2024</v>
      </c>
      <c r="B11" t="s">
        <v>14</v>
      </c>
      <c r="C11">
        <v>1656983</v>
      </c>
      <c r="D11">
        <v>4771</v>
      </c>
      <c r="E11">
        <f t="shared" si="0"/>
        <v>1661754</v>
      </c>
      <c r="F11" s="4">
        <v>197231</v>
      </c>
      <c r="G11" s="4">
        <v>2806</v>
      </c>
      <c r="H11">
        <f t="shared" si="1"/>
        <v>200037</v>
      </c>
    </row>
    <row r="12" spans="1:8" ht="19" x14ac:dyDescent="0.25">
      <c r="A12">
        <v>2024</v>
      </c>
      <c r="B12" t="s">
        <v>15</v>
      </c>
      <c r="C12">
        <v>2128893</v>
      </c>
      <c r="D12">
        <v>1247</v>
      </c>
      <c r="E12">
        <f t="shared" si="0"/>
        <v>2130140</v>
      </c>
      <c r="F12" s="4">
        <v>197231</v>
      </c>
      <c r="G12" s="4">
        <v>2065</v>
      </c>
      <c r="H12">
        <f t="shared" si="1"/>
        <v>199296</v>
      </c>
    </row>
    <row r="13" spans="1:8" ht="19" x14ac:dyDescent="0.25">
      <c r="A13">
        <v>2024</v>
      </c>
      <c r="B13" t="s">
        <v>16</v>
      </c>
      <c r="C13">
        <v>1463429</v>
      </c>
      <c r="D13">
        <v>505</v>
      </c>
      <c r="E13">
        <f t="shared" si="0"/>
        <v>1463934</v>
      </c>
      <c r="F13" s="4">
        <v>197231</v>
      </c>
      <c r="G13" s="4">
        <v>3529</v>
      </c>
      <c r="H13">
        <f t="shared" si="1"/>
        <v>200760</v>
      </c>
    </row>
    <row r="14" spans="1:8" ht="19" x14ac:dyDescent="0.25">
      <c r="B14" s="6" t="s">
        <v>17</v>
      </c>
      <c r="C14" s="6">
        <f>SUM(C2:C13)</f>
        <v>20569875</v>
      </c>
      <c r="D14" s="6">
        <f t="shared" ref="D14:E14" si="2">SUM(D2:D13)</f>
        <v>21705</v>
      </c>
      <c r="E14" s="6">
        <f t="shared" si="2"/>
        <v>20591580</v>
      </c>
      <c r="F14" s="6">
        <f>SUM(F2:F13)</f>
        <v>2366772</v>
      </c>
      <c r="G14" s="6">
        <f>SUM(G2:G13)</f>
        <v>43654</v>
      </c>
      <c r="H14" s="6">
        <f t="shared" si="1"/>
        <v>2410426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BAD2-6C86-B74E-986E-C20D3168170D}">
  <dimension ref="A1:H14"/>
  <sheetViews>
    <sheetView tabSelected="1" workbookViewId="0">
      <selection activeCell="F17" sqref="F17"/>
    </sheetView>
  </sheetViews>
  <sheetFormatPr baseColWidth="10" defaultRowHeight="15" x14ac:dyDescent="0.2"/>
  <cols>
    <col min="2" max="2" width="13" bestFit="1" customWidth="1"/>
    <col min="3" max="3" width="14.5" bestFit="1" customWidth="1"/>
    <col min="4" max="4" width="12.83203125" bestFit="1" customWidth="1"/>
    <col min="5" max="5" width="11.1640625" bestFit="1" customWidth="1"/>
    <col min="6" max="6" width="22" bestFit="1" customWidth="1"/>
    <col min="7" max="7" width="20" bestFit="1" customWidth="1"/>
    <col min="8" max="8" width="17.1640625" bestFit="1" customWidth="1"/>
  </cols>
  <sheetData>
    <row r="1" spans="1:8" ht="17" x14ac:dyDescent="0.2">
      <c r="A1" t="s">
        <v>0</v>
      </c>
      <c r="B1" s="13" t="s">
        <v>1</v>
      </c>
      <c r="C1" t="s">
        <v>18</v>
      </c>
      <c r="D1" t="s">
        <v>19</v>
      </c>
      <c r="E1" t="s">
        <v>20</v>
      </c>
      <c r="F1" s="14" t="s">
        <v>2</v>
      </c>
      <c r="G1" s="14" t="s">
        <v>3</v>
      </c>
      <c r="H1" s="14" t="s">
        <v>4</v>
      </c>
    </row>
    <row r="2" spans="1:8" ht="19" x14ac:dyDescent="0.25">
      <c r="A2">
        <v>2025</v>
      </c>
      <c r="B2" s="15" t="s">
        <v>5</v>
      </c>
      <c r="C2" s="3">
        <v>1404306</v>
      </c>
      <c r="D2" s="3">
        <v>320</v>
      </c>
      <c r="E2">
        <f>SUM(C2:D2)</f>
        <v>1404626</v>
      </c>
      <c r="F2" s="19">
        <v>148438</v>
      </c>
      <c r="G2" s="19">
        <v>3385</v>
      </c>
      <c r="H2" s="20">
        <f t="shared" ref="H2:H13" si="0">SUM(F2:G2)</f>
        <v>151823</v>
      </c>
    </row>
    <row r="3" spans="1:8" ht="19" x14ac:dyDescent="0.25">
      <c r="A3">
        <v>2025</v>
      </c>
      <c r="B3" s="15" t="s">
        <v>6</v>
      </c>
      <c r="C3" s="3">
        <v>1116986</v>
      </c>
      <c r="D3" s="3">
        <v>455</v>
      </c>
      <c r="E3">
        <f t="shared" ref="E3:E13" si="1">SUM(C3:D3)</f>
        <v>1117441</v>
      </c>
      <c r="F3" s="19">
        <v>143444</v>
      </c>
      <c r="G3" s="19">
        <v>4116</v>
      </c>
      <c r="H3" s="20">
        <f t="shared" si="0"/>
        <v>147560</v>
      </c>
    </row>
    <row r="4" spans="1:8" ht="19" x14ac:dyDescent="0.25">
      <c r="A4">
        <v>2025</v>
      </c>
      <c r="B4" s="15" t="s">
        <v>7</v>
      </c>
      <c r="C4" s="3">
        <v>1580161</v>
      </c>
      <c r="D4" s="3">
        <v>947</v>
      </c>
      <c r="E4">
        <f t="shared" si="1"/>
        <v>1581108</v>
      </c>
      <c r="F4" s="19">
        <v>174349</v>
      </c>
      <c r="G4" s="19">
        <v>2006</v>
      </c>
      <c r="H4" s="20">
        <f t="shared" si="0"/>
        <v>176355</v>
      </c>
    </row>
    <row r="5" spans="1:8" ht="19" x14ac:dyDescent="0.25">
      <c r="A5">
        <v>2025</v>
      </c>
      <c r="B5" s="15" t="s">
        <v>8</v>
      </c>
      <c r="C5" s="3">
        <v>1738413</v>
      </c>
      <c r="D5" s="3">
        <v>1881</v>
      </c>
      <c r="E5">
        <f t="shared" si="1"/>
        <v>1740294</v>
      </c>
      <c r="F5" s="19">
        <v>175197</v>
      </c>
      <c r="G5" s="19">
        <v>4145</v>
      </c>
      <c r="H5" s="20">
        <f t="shared" si="0"/>
        <v>179342</v>
      </c>
    </row>
    <row r="6" spans="1:8" ht="19" x14ac:dyDescent="0.25">
      <c r="A6">
        <v>2025</v>
      </c>
      <c r="B6" s="15" t="s">
        <v>9</v>
      </c>
      <c r="C6" s="3">
        <v>897622</v>
      </c>
      <c r="D6" s="3">
        <v>324</v>
      </c>
      <c r="E6">
        <f t="shared" si="1"/>
        <v>897946</v>
      </c>
      <c r="F6" s="19">
        <v>18246</v>
      </c>
      <c r="G6" s="21">
        <v>607</v>
      </c>
      <c r="H6" s="20">
        <f t="shared" si="0"/>
        <v>18853</v>
      </c>
    </row>
    <row r="7" spans="1:8" ht="19" x14ac:dyDescent="0.25">
      <c r="A7">
        <v>2025</v>
      </c>
      <c r="B7" s="15" t="s">
        <v>10</v>
      </c>
      <c r="C7" s="3">
        <v>2138056</v>
      </c>
      <c r="D7" s="3">
        <v>528</v>
      </c>
      <c r="E7">
        <f t="shared" si="1"/>
        <v>2138584</v>
      </c>
      <c r="F7" s="19">
        <v>57458</v>
      </c>
      <c r="G7" s="21">
        <v>844</v>
      </c>
      <c r="H7" s="20">
        <f t="shared" si="0"/>
        <v>58302</v>
      </c>
    </row>
    <row r="8" spans="1:8" ht="19" x14ac:dyDescent="0.25">
      <c r="A8">
        <v>2025</v>
      </c>
      <c r="B8" s="15" t="s">
        <v>11</v>
      </c>
      <c r="C8" s="3">
        <v>1622169</v>
      </c>
      <c r="D8" s="3">
        <v>2056</v>
      </c>
      <c r="E8">
        <f t="shared" si="1"/>
        <v>1624225</v>
      </c>
      <c r="F8" s="22">
        <v>98424</v>
      </c>
      <c r="G8" s="22">
        <v>1172</v>
      </c>
      <c r="H8" s="20">
        <f t="shared" si="0"/>
        <v>99596</v>
      </c>
    </row>
    <row r="9" spans="1:8" ht="19" x14ac:dyDescent="0.25">
      <c r="A9">
        <v>2025</v>
      </c>
      <c r="B9" s="15" t="s">
        <v>12</v>
      </c>
      <c r="C9" s="3">
        <v>1132762</v>
      </c>
      <c r="D9" s="3">
        <v>3219</v>
      </c>
      <c r="E9">
        <f t="shared" si="1"/>
        <v>1135981</v>
      </c>
      <c r="F9" s="19">
        <v>62430</v>
      </c>
      <c r="G9" s="19">
        <v>1399</v>
      </c>
      <c r="H9" s="20">
        <f t="shared" si="0"/>
        <v>63829</v>
      </c>
    </row>
    <row r="10" spans="1:8" ht="19" x14ac:dyDescent="0.25">
      <c r="A10">
        <v>2025</v>
      </c>
      <c r="B10" s="15" t="s">
        <v>13</v>
      </c>
      <c r="C10" s="3">
        <v>441010</v>
      </c>
      <c r="D10" s="3">
        <v>746</v>
      </c>
      <c r="E10">
        <f t="shared" si="1"/>
        <v>441756</v>
      </c>
      <c r="F10" s="23">
        <v>31878</v>
      </c>
      <c r="G10" s="24">
        <v>1302</v>
      </c>
      <c r="H10" s="20">
        <f t="shared" si="0"/>
        <v>33180</v>
      </c>
    </row>
    <row r="11" spans="1:8" ht="19" x14ac:dyDescent="0.25">
      <c r="A11">
        <v>2025</v>
      </c>
      <c r="B11" s="15" t="s">
        <v>14</v>
      </c>
      <c r="C11" s="3">
        <v>743117</v>
      </c>
      <c r="D11" s="3">
        <v>1476</v>
      </c>
      <c r="E11">
        <f t="shared" si="1"/>
        <v>744593</v>
      </c>
      <c r="F11" s="19">
        <v>58853</v>
      </c>
      <c r="G11" s="19">
        <v>1017</v>
      </c>
      <c r="H11" s="20">
        <f t="shared" si="0"/>
        <v>59870</v>
      </c>
    </row>
    <row r="12" spans="1:8" ht="19" x14ac:dyDescent="0.25">
      <c r="A12">
        <v>2025</v>
      </c>
      <c r="B12" s="16" t="s">
        <v>15</v>
      </c>
      <c r="C12" s="3">
        <v>69104</v>
      </c>
      <c r="D12" s="3">
        <v>64</v>
      </c>
      <c r="E12">
        <f t="shared" si="1"/>
        <v>69168</v>
      </c>
      <c r="F12" s="19">
        <v>55904</v>
      </c>
      <c r="G12" s="19">
        <v>849</v>
      </c>
      <c r="H12" s="20">
        <f t="shared" si="0"/>
        <v>56753</v>
      </c>
    </row>
    <row r="13" spans="1:8" ht="19" x14ac:dyDescent="0.25">
      <c r="A13">
        <v>2025</v>
      </c>
      <c r="B13" s="17" t="s">
        <v>16</v>
      </c>
      <c r="C13" s="3">
        <v>0</v>
      </c>
      <c r="D13" s="3">
        <v>0</v>
      </c>
      <c r="E13">
        <f t="shared" si="1"/>
        <v>0</v>
      </c>
      <c r="F13" s="25">
        <v>4523</v>
      </c>
      <c r="G13" s="25">
        <v>64</v>
      </c>
      <c r="H13" s="26">
        <f t="shared" si="0"/>
        <v>4587</v>
      </c>
    </row>
    <row r="14" spans="1:8" ht="19" x14ac:dyDescent="0.25">
      <c r="B14" s="17" t="s">
        <v>17</v>
      </c>
      <c r="C14" s="6">
        <f>SUM(C2:C13)</f>
        <v>12883706</v>
      </c>
      <c r="D14" s="6">
        <f t="shared" ref="D14:H14" si="2">SUM(D2:D13)</f>
        <v>12016</v>
      </c>
      <c r="E14" s="6">
        <f t="shared" si="2"/>
        <v>12895722</v>
      </c>
      <c r="F14" s="6">
        <f t="shared" si="2"/>
        <v>1029144</v>
      </c>
      <c r="G14" s="6">
        <f t="shared" si="2"/>
        <v>20906</v>
      </c>
      <c r="H14" s="6">
        <f t="shared" si="2"/>
        <v>1050050</v>
      </c>
    </row>
  </sheetData>
  <conditionalFormatting sqref="F2:H13">
    <cfRule type="notContainsBlanks" dxfId="0" priority="1">
      <formula>LEN(TRIM(F2))&gt;0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J&amp;K 2015</vt:lpstr>
      <vt:lpstr>J&amp;K 2016</vt:lpstr>
      <vt:lpstr>J&amp;K 2017</vt:lpstr>
      <vt:lpstr>J&amp;K 2018</vt:lpstr>
      <vt:lpstr>J&amp;K 2019</vt:lpstr>
      <vt:lpstr>J&amp;K 2020</vt:lpstr>
      <vt:lpstr>J&amp;K 2021</vt:lpstr>
      <vt:lpstr>J&amp;K 2022</vt:lpstr>
      <vt:lpstr>J&amp;K 2023</vt:lpstr>
      <vt:lpstr>J&amp;K 2024</vt:lpstr>
      <vt:lpstr>J&amp;K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MIRAK WAJAHAT KIRMANI</cp:lastModifiedBy>
  <dcterms:created xsi:type="dcterms:W3CDTF">2025-12-05T05:32:47Z</dcterms:created>
  <dcterms:modified xsi:type="dcterms:W3CDTF">2025-12-05T06:53:36Z</dcterms:modified>
</cp:coreProperties>
</file>